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Y:\Provider Lists\PROVLIST\UPDATED WEBSITE SPREADSHEETS\IN PROGRESS\"/>
    </mc:Choice>
  </mc:AlternateContent>
  <xr:revisionPtr revIDLastSave="0" documentId="13_ncr:1_{ED9E3F08-F3B4-4CDA-B91B-AA0E72BF2276}" xr6:coauthVersionLast="47" xr6:coauthVersionMax="47" xr10:uidLastSave="{00000000-0000-0000-0000-000000000000}"/>
  <bookViews>
    <workbookView xWindow="-48108" yWindow="16956" windowWidth="30936" windowHeight="16776" xr2:uid="{098B5734-209B-458A-B212-C3EE9589784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114" i="1" l="1"/>
  <c r="T110" i="1"/>
  <c r="T108" i="1"/>
  <c r="T107" i="1"/>
  <c r="T105" i="1"/>
  <c r="T104" i="1"/>
  <c r="T103" i="1"/>
  <c r="T101" i="1"/>
  <c r="T100" i="1"/>
  <c r="T94" i="1"/>
  <c r="T88" i="1"/>
  <c r="T80" i="1"/>
  <c r="T74" i="1"/>
  <c r="T71" i="1"/>
  <c r="T66" i="1"/>
  <c r="T65" i="1"/>
  <c r="T64" i="1"/>
  <c r="T63" i="1"/>
  <c r="T62" i="1"/>
  <c r="T61" i="1"/>
  <c r="T60" i="1"/>
  <c r="T55" i="1"/>
  <c r="T53" i="1"/>
  <c r="T52" i="1"/>
  <c r="T48" i="1"/>
  <c r="T47" i="1"/>
  <c r="T44" i="1"/>
  <c r="T43" i="1"/>
  <c r="T40" i="1"/>
  <c r="T38" i="1"/>
  <c r="T37" i="1"/>
  <c r="T36" i="1"/>
  <c r="T35" i="1"/>
  <c r="T33" i="1"/>
  <c r="T32" i="1"/>
  <c r="T31" i="1"/>
  <c r="T28" i="1"/>
  <c r="T27" i="1"/>
  <c r="T25" i="1"/>
  <c r="T24" i="1"/>
  <c r="T23" i="1"/>
  <c r="T21" i="1"/>
  <c r="T17" i="1"/>
  <c r="T16" i="1"/>
  <c r="T15" i="1"/>
  <c r="T14" i="1"/>
  <c r="T13" i="1"/>
  <c r="T12" i="1"/>
  <c r="T10" i="1"/>
  <c r="T8" i="1"/>
</calcChain>
</file>

<file path=xl/sharedStrings.xml><?xml version="1.0" encoding="utf-8"?>
<sst xmlns="http://schemas.openxmlformats.org/spreadsheetml/2006/main" count="1648" uniqueCount="771">
  <si>
    <t>ARKANSAS DEPARTMENT OF HEALTH</t>
  </si>
  <si>
    <t>HEALTH FACILITY SERVICES</t>
  </si>
  <si>
    <t>License #</t>
  </si>
  <si>
    <t>Facility Type</t>
  </si>
  <si>
    <t>License Type</t>
  </si>
  <si>
    <t>Physical Address</t>
  </si>
  <si>
    <t>Expiration Date</t>
  </si>
  <si>
    <t>Accrediting Organization</t>
  </si>
  <si>
    <t>Deemed</t>
  </si>
  <si>
    <t>Acute Care Beds</t>
  </si>
  <si>
    <t>Recup Beds</t>
  </si>
  <si>
    <t>Swing Beds</t>
  </si>
  <si>
    <t>Lic Psy. Unit Beds</t>
  </si>
  <si>
    <t>Alcohol / Drug Abuse beds</t>
  </si>
  <si>
    <t>Rehab Unit Beds</t>
  </si>
  <si>
    <t>Total Licensed Beds (Acute + Recup)</t>
  </si>
  <si>
    <t>Medicare Beds Acute +Recup Off-Campus Licensed only</t>
  </si>
  <si>
    <t xml:space="preserve">Swimming Pool Used for Patient Care only </t>
  </si>
  <si>
    <t>Offsite ER Location</t>
  </si>
  <si>
    <t xml:space="preserve"> AR5830</t>
  </si>
  <si>
    <t>AR2653</t>
  </si>
  <si>
    <t>AR2657</t>
  </si>
  <si>
    <t>AR3828</t>
  </si>
  <si>
    <t>AR4056</t>
  </si>
  <si>
    <t>AR4063</t>
  </si>
  <si>
    <t>AR4089</t>
  </si>
  <si>
    <t>AR4114</t>
  </si>
  <si>
    <t>AR4128</t>
  </si>
  <si>
    <t>AR4187</t>
  </si>
  <si>
    <t>AR4192</t>
  </si>
  <si>
    <t>AR4197</t>
  </si>
  <si>
    <t>AR4213</t>
  </si>
  <si>
    <t>AR4227</t>
  </si>
  <si>
    <t>AR4230</t>
  </si>
  <si>
    <t>AR4237</t>
  </si>
  <si>
    <t>AR4238</t>
  </si>
  <si>
    <t>AR4245</t>
  </si>
  <si>
    <t>AR4261</t>
  </si>
  <si>
    <t>AR4280</t>
  </si>
  <si>
    <t>AR4319</t>
  </si>
  <si>
    <t>AR4321</t>
  </si>
  <si>
    <t>AR4368</t>
  </si>
  <si>
    <t>AR4392</t>
  </si>
  <si>
    <t>AR4436</t>
  </si>
  <si>
    <t>AR4449</t>
  </si>
  <si>
    <t>AR4450</t>
  </si>
  <si>
    <t>AR4452</t>
  </si>
  <si>
    <t>AR4474</t>
  </si>
  <si>
    <t>AR4480</t>
  </si>
  <si>
    <t>AR4512</t>
  </si>
  <si>
    <t>AR4517</t>
  </si>
  <si>
    <t>AR4534</t>
  </si>
  <si>
    <t>AR4555</t>
  </si>
  <si>
    <t>AR4562</t>
  </si>
  <si>
    <t>AR4577</t>
  </si>
  <si>
    <t>AR4604</t>
  </si>
  <si>
    <t>AR4640</t>
  </si>
  <si>
    <t>AR4645</t>
  </si>
  <si>
    <t>AR4657</t>
  </si>
  <si>
    <t>AR4756</t>
  </si>
  <si>
    <t>AR4767</t>
  </si>
  <si>
    <t>AR4774</t>
  </si>
  <si>
    <t>AR4797</t>
  </si>
  <si>
    <t>AR4825</t>
  </si>
  <si>
    <t>AR4938</t>
  </si>
  <si>
    <t>AR4939</t>
  </si>
  <si>
    <t>AR4940</t>
  </si>
  <si>
    <t>AR4941</t>
  </si>
  <si>
    <t>AR4970</t>
  </si>
  <si>
    <t>AR5030</t>
  </si>
  <si>
    <t>AR5036</t>
  </si>
  <si>
    <t>AR5037</t>
  </si>
  <si>
    <t>AR5042</t>
  </si>
  <si>
    <t>AR5044</t>
  </si>
  <si>
    <t>AR5046</t>
  </si>
  <si>
    <t>AR5048</t>
  </si>
  <si>
    <t>AR5079</t>
  </si>
  <si>
    <t>AR5092</t>
  </si>
  <si>
    <t>AR5099</t>
  </si>
  <si>
    <t>AR5143</t>
  </si>
  <si>
    <t>AR5149</t>
  </si>
  <si>
    <t>AR5164</t>
  </si>
  <si>
    <t>AR5169</t>
  </si>
  <si>
    <t>AR5182</t>
  </si>
  <si>
    <t>AR5219</t>
  </si>
  <si>
    <t>AR5223</t>
  </si>
  <si>
    <t>AR5248</t>
  </si>
  <si>
    <t>AR5260</t>
  </si>
  <si>
    <t>AR5295</t>
  </si>
  <si>
    <t>AR5299</t>
  </si>
  <si>
    <t>AR5351</t>
  </si>
  <si>
    <t>AR5356</t>
  </si>
  <si>
    <t>AR5357</t>
  </si>
  <si>
    <t>AR5367</t>
  </si>
  <si>
    <t>AR5392</t>
  </si>
  <si>
    <t>AR5403</t>
  </si>
  <si>
    <t>AR5432</t>
  </si>
  <si>
    <t>AR5505</t>
  </si>
  <si>
    <t>AR5514</t>
  </si>
  <si>
    <t>AR5515</t>
  </si>
  <si>
    <t>AR5516</t>
  </si>
  <si>
    <t>AR5517</t>
  </si>
  <si>
    <t>AR5518</t>
  </si>
  <si>
    <t>AR5519</t>
  </si>
  <si>
    <t>AR5522</t>
  </si>
  <si>
    <t>AR5523</t>
  </si>
  <si>
    <t>AR5527</t>
  </si>
  <si>
    <t>AR5599</t>
  </si>
  <si>
    <t>AR5600</t>
  </si>
  <si>
    <t>AR5844</t>
  </si>
  <si>
    <t>AR5615</t>
  </si>
  <si>
    <t>AR5623</t>
  </si>
  <si>
    <t>AR5624</t>
  </si>
  <si>
    <t>AR5625</t>
  </si>
  <si>
    <t>AR5628</t>
  </si>
  <si>
    <t>AR5695</t>
  </si>
  <si>
    <t>AR5744</t>
  </si>
  <si>
    <t>AR5769</t>
  </si>
  <si>
    <t>AR5858</t>
  </si>
  <si>
    <t>AR5842</t>
  </si>
  <si>
    <t>AR5852</t>
  </si>
  <si>
    <t>Hospital</t>
  </si>
  <si>
    <t>General Hospital</t>
  </si>
  <si>
    <t>Surgery &amp; General Medical Care Hospital - (CAH)</t>
  </si>
  <si>
    <t>Psychiatric Hospital</t>
  </si>
  <si>
    <t>Surgery &amp; General Medical Care Hospital</t>
  </si>
  <si>
    <t>General Hospital - (CAH)</t>
  </si>
  <si>
    <t>Surgery &amp; General Medical Care Hospital - (LTAC)</t>
  </si>
  <si>
    <t>Rehabilitation Hospital</t>
  </si>
  <si>
    <t>Surgery &amp; General Medical Care</t>
  </si>
  <si>
    <t>White River Medical Center</t>
  </si>
  <si>
    <t>Johnson Regional Medical Center</t>
  </si>
  <si>
    <t>Ouachita County Medical Center</t>
  </si>
  <si>
    <t>Conway Regional Medical Center</t>
  </si>
  <si>
    <t>Baptist Health Medical Center - North Little Rock</t>
  </si>
  <si>
    <t>Arkansas Methodist Medical Center</t>
  </si>
  <si>
    <t>CrossRidge Community Hospital</t>
  </si>
  <si>
    <t>United Methodist Behavioral Hospital</t>
  </si>
  <si>
    <t>Dallas County Medical Center</t>
  </si>
  <si>
    <t>UAMS Medical Center</t>
  </si>
  <si>
    <t>National Park Medical Center</t>
  </si>
  <si>
    <t>St. Mary's Regional Medical Center</t>
  </si>
  <si>
    <t>St. Vincent Medical Center/North</t>
  </si>
  <si>
    <t>Jefferson Regional Medical Center</t>
  </si>
  <si>
    <t>Baptist Health Medical Center - Arkadelphia</t>
  </si>
  <si>
    <t>Fulton County Hospital</t>
  </si>
  <si>
    <t>Ozark Health</t>
  </si>
  <si>
    <t>Ashley County Medical Center</t>
  </si>
  <si>
    <t>Regency Hospital of Springdale</t>
  </si>
  <si>
    <t>Conway Regional Rehabilitation Hospital</t>
  </si>
  <si>
    <t>Arkansas Surgical Hospital</t>
  </si>
  <si>
    <t>Bradley County Medical Center</t>
  </si>
  <si>
    <t>Piggott Community Hospital</t>
  </si>
  <si>
    <t>Mena Regional Health System</t>
  </si>
  <si>
    <t>Forrest City Medical Center</t>
  </si>
  <si>
    <t>Delta Memorial Hospital</t>
  </si>
  <si>
    <t>Baptist Health Medical Center - Heber Springs</t>
  </si>
  <si>
    <t>Northwest Medical Center</t>
  </si>
  <si>
    <t>Northwest Medical Center - Willow Creek Women's Hospital</t>
  </si>
  <si>
    <t>Advanced Care Hospital of White County</t>
  </si>
  <si>
    <t>Northwest Medical Center - Bentonville</t>
  </si>
  <si>
    <t>North Arkansas Regional Medical Center</t>
  </si>
  <si>
    <t>Arkansas State Hospital</t>
  </si>
  <si>
    <t>Ozarks Community Hospital of Gravette</t>
  </si>
  <si>
    <t>Baptist Health Medical Center-Stuttgart</t>
  </si>
  <si>
    <t>Baptist Health Medical Center - Little Rock</t>
  </si>
  <si>
    <t>Great River Medical Center</t>
  </si>
  <si>
    <t>South Mississippi County Regional Medical Center</t>
  </si>
  <si>
    <t>Howard Memorial Hospital</t>
  </si>
  <si>
    <t>Springwoods Behavioral Health Services</t>
  </si>
  <si>
    <t>Arkansas Children's Hospital</t>
  </si>
  <si>
    <t>St. Bernards Medical Center</t>
  </si>
  <si>
    <t>McGehee Hospital</t>
  </si>
  <si>
    <t>Arkansas Department of Correction - Ouachita River Unit Inpatient Care Facility</t>
  </si>
  <si>
    <t>Mercy Hospital Berryville</t>
  </si>
  <si>
    <t>Siloam Springs Regional Hospital</t>
  </si>
  <si>
    <t>Mercy Hospital Northwest Arkansas</t>
  </si>
  <si>
    <t>Chambers Memorial Hospital</t>
  </si>
  <si>
    <t>Mercy Hospital Paris</t>
  </si>
  <si>
    <t>Mercy Hospital Ozark</t>
  </si>
  <si>
    <t>Mercy Hospital Waldron</t>
  </si>
  <si>
    <t>Mercy Hospital Fort Smith</t>
  </si>
  <si>
    <t>Baptist Health Rehabilitation Institute</t>
  </si>
  <si>
    <t>Mercy Hospital Booneville</t>
  </si>
  <si>
    <t>Stone County Medical Center</t>
  </si>
  <si>
    <t>NEA Baptist Memorial Hospital</t>
  </si>
  <si>
    <t>Vantage Point of Northwest Arkansas</t>
  </si>
  <si>
    <t>Valley Behavioral Health System</t>
  </si>
  <si>
    <t>Riverview Behavioral Health</t>
  </si>
  <si>
    <t>Baptist Health Medical Center-Hot Spring County</t>
  </si>
  <si>
    <t>Mercy Orthopedic Hospital Fort Smith</t>
  </si>
  <si>
    <t>Arkansas Heart Hospital, LLC</t>
  </si>
  <si>
    <t>CHI St. Vincent Hospital Hot Springs</t>
  </si>
  <si>
    <t>Washington Regional Medical Center</t>
  </si>
  <si>
    <t>Levi Hospital</t>
  </si>
  <si>
    <t>The BridgeWay</t>
  </si>
  <si>
    <t>Rivendell Behavioral Health Services of Arkansas</t>
  </si>
  <si>
    <t>Chicot Memorial Medical Center</t>
  </si>
  <si>
    <t>Little River Memorial Hospital</t>
  </si>
  <si>
    <t>Saline Memorial Hospital</t>
  </si>
  <si>
    <t>Baptist Health Medical Center-Conway</t>
  </si>
  <si>
    <t>CHI St. Vincent Morrilton</t>
  </si>
  <si>
    <t>Baptist Health Extended Care Hosptial-Little Rock, Inc.</t>
  </si>
  <si>
    <t>Arkansas Continued Care Hospital of Jonesboro</t>
  </si>
  <si>
    <t>Arkansas Extended Care Hospital - Hot Springs</t>
  </si>
  <si>
    <t>Conway Behavioral Health</t>
  </si>
  <si>
    <t>Arkansas Children's Northwest, Inc.</t>
  </si>
  <si>
    <t>Pinnacle Pointe Behavioral Healthcare System</t>
  </si>
  <si>
    <t>Southeast Rehabilitation Hospital</t>
  </si>
  <si>
    <t>Baptist Memorial Hospital-Crittenden, Inc.</t>
  </si>
  <si>
    <t>Encompass Health Rehabilitation Hospital of Fort Smith</t>
  </si>
  <si>
    <t>CHI St. Vincent Hot Springs Rehabilitation Hospital, a partner of Encompass Health</t>
  </si>
  <si>
    <t>CHI St. Vincent Sherwood Rehabilitation Hospital, partner of Encompass Health</t>
  </si>
  <si>
    <t>Encompass Health Rehabilitation Hospital of Jonesboro</t>
  </si>
  <si>
    <t>Encompass Health Rehabilitation Hospital, a Partner of Washington Regional</t>
  </si>
  <si>
    <t>Cornerstone Specialty Hospitals Little Rock</t>
  </si>
  <si>
    <t>Lawrence Memorial Hospital</t>
  </si>
  <si>
    <t>CHI St. Vincent Infirmary</t>
  </si>
  <si>
    <t>Helena Regional Medical Center</t>
  </si>
  <si>
    <t>Baptist Health - Van Buren</t>
  </si>
  <si>
    <t>Baptist Health-Fort Smith</t>
  </si>
  <si>
    <t>Dardanelle Regional Medical Center</t>
  </si>
  <si>
    <t>Cabot Emergency Hospital</t>
  </si>
  <si>
    <t>Unity Health White County Medical Center</t>
  </si>
  <si>
    <t>Unity Health Specialty Care Campus</t>
  </si>
  <si>
    <t>St. Bernards Five Rivers Medical Center</t>
  </si>
  <si>
    <t>Perimeter Behavioral Hospital of West Memphis</t>
  </si>
  <si>
    <t>Eureka Springs Hospital Commission</t>
  </si>
  <si>
    <t>Magnolia Regional Medical Center</t>
  </si>
  <si>
    <t>Arkansas Heart Hospital-Encore</t>
  </si>
  <si>
    <t>Mercy Rehabilitation Hospital</t>
  </si>
  <si>
    <t>Northwest Health Physicians' Specialty Hospital</t>
  </si>
  <si>
    <t>Unity Health - Newport</t>
  </si>
  <si>
    <t>Sevier County Medical Center</t>
  </si>
  <si>
    <t>Fort Smtih ER &amp; Hospital</t>
  </si>
  <si>
    <t>Unity Health - Jacksonville</t>
  </si>
  <si>
    <t>201 Clifton Street</t>
  </si>
  <si>
    <t>4301 West Markham Street</t>
  </si>
  <si>
    <t>1910 Malvern Avenue</t>
  </si>
  <si>
    <t>1808 West Main Street</t>
  </si>
  <si>
    <t>2215 Wildwood Avenue</t>
  </si>
  <si>
    <t>1600 West 40th Avenue</t>
  </si>
  <si>
    <t>3050 Twin Rivers Drive</t>
  </si>
  <si>
    <t>679 North Main Street</t>
  </si>
  <si>
    <t>2500 Highway 65 South</t>
  </si>
  <si>
    <t>1015 Unity Road</t>
  </si>
  <si>
    <t>609 West Maple Avenue</t>
  </si>
  <si>
    <t>2210 Robinson Avenue</t>
  </si>
  <si>
    <t>5201 North Shore Drive</t>
  </si>
  <si>
    <t>404 South Bradley Street</t>
  </si>
  <si>
    <t>1206 Gordon Duckworth Drive</t>
  </si>
  <si>
    <t>311 North Morrow Street</t>
  </si>
  <si>
    <t>1601 Newcastle Road</t>
  </si>
  <si>
    <t>811 Highway 65 South</t>
  </si>
  <si>
    <t>1800 Bypass Road</t>
  </si>
  <si>
    <t>4301 Greathouse Springs Road</t>
  </si>
  <si>
    <t>1200 South Main Street</t>
  </si>
  <si>
    <t>3000 Medical Center Parkway</t>
  </si>
  <si>
    <t>620 North Main Street</t>
  </si>
  <si>
    <t>305 South Palm Street</t>
  </si>
  <si>
    <t>1101 Jackson Street, S.W.</t>
  </si>
  <si>
    <t>1703 North Buerkle Road</t>
  </si>
  <si>
    <t>11401 Interstate 30</t>
  </si>
  <si>
    <t>1520 North Division Street</t>
  </si>
  <si>
    <t>611 West Lee Avenue</t>
  </si>
  <si>
    <t>130 Medical Circle</t>
  </si>
  <si>
    <t>1955 West Trucker's Drive</t>
  </si>
  <si>
    <t>1 Children's Way, Slot 301</t>
  </si>
  <si>
    <t>2712 East Johnson Avenue</t>
  </si>
  <si>
    <t>900 South Third Street</t>
  </si>
  <si>
    <t>100 Walco Lane</t>
  </si>
  <si>
    <t>214 Carter Street</t>
  </si>
  <si>
    <t>603 North Progress Avenue</t>
  </si>
  <si>
    <t>2001 South Main</t>
  </si>
  <si>
    <t>2710 South Rife Medical Lane</t>
  </si>
  <si>
    <t>778 Scogin Drive</t>
  </si>
  <si>
    <t>719 Detroit Street</t>
  </si>
  <si>
    <t>500 East Academy</t>
  </si>
  <si>
    <t>801 West River Street</t>
  </si>
  <si>
    <t>1341 West Sixth Street</t>
  </si>
  <si>
    <t>7301 Rogers Avenue</t>
  </si>
  <si>
    <t>9601 Baptist Health Drive</t>
  </si>
  <si>
    <t>880 West Main Street</t>
  </si>
  <si>
    <t>2106 East Main Street</t>
  </si>
  <si>
    <t>4800 East Johnson Avenue</t>
  </si>
  <si>
    <t>4253 Crossover Road</t>
  </si>
  <si>
    <t>10301 Mayo Drive</t>
  </si>
  <si>
    <t>701 Arkansas Boulevard, Suite 300</t>
  </si>
  <si>
    <t>1001 Schneider Drive</t>
  </si>
  <si>
    <t>3601 South 79th Street</t>
  </si>
  <si>
    <t>1701 South Shackleford Road</t>
  </si>
  <si>
    <t>300 Werner Street</t>
  </si>
  <si>
    <t>300 Prospect Avenue</t>
  </si>
  <si>
    <t>21 BridgeWay Road</t>
  </si>
  <si>
    <t>100 Rivendell Drive</t>
  </si>
  <si>
    <t>2729 South Highway 65 &amp; 82</t>
  </si>
  <si>
    <t>451 West Locke Street</t>
  </si>
  <si>
    <t>1 Medical Park Drive</t>
  </si>
  <si>
    <t>1555 Exchange Avenue</t>
  </si>
  <si>
    <t>4 Hospital Drive</t>
  </si>
  <si>
    <t>9601 Baptist Health Drive, 10th Floor</t>
  </si>
  <si>
    <t>3024 Red Wolf Boulevard, Suite 1</t>
  </si>
  <si>
    <t>7301 Rogers Avenue, 4th Floor</t>
  </si>
  <si>
    <t>300 Werner Street, 3rd Floor</t>
  </si>
  <si>
    <t>2255 Sturgis Road</t>
  </si>
  <si>
    <t>2601 Gene George Boulevard</t>
  </si>
  <si>
    <t>11501 Financial Centre Parkway</t>
  </si>
  <si>
    <t>905 Borgognoni Drive</t>
  </si>
  <si>
    <t>2100 North Seventh Street</t>
  </si>
  <si>
    <t>1401 South "J" Street</t>
  </si>
  <si>
    <t>1636 Higdon Ferry Road</t>
  </si>
  <si>
    <t>2201 Wildwood Avenue</t>
  </si>
  <si>
    <t>1201 Fleming Avenue</t>
  </si>
  <si>
    <t>153 East Monte Painter Drive</t>
  </si>
  <si>
    <t>2 St. Vincent Circle, 6th Floor</t>
  </si>
  <si>
    <t>1309 West Main</t>
  </si>
  <si>
    <t>Two St. Vincent Circle</t>
  </si>
  <si>
    <t>1801 Martin Luther King Jr Drive</t>
  </si>
  <si>
    <t>211 Crawford Memorial Drive</t>
  </si>
  <si>
    <t>1001 Towson Avenue</t>
  </si>
  <si>
    <t>200 North Third Street</t>
  </si>
  <si>
    <t>212 Willie Ray Drive</t>
  </si>
  <si>
    <t>3214 East Race Avenue</t>
  </si>
  <si>
    <t xml:space="preserve">1200 South Main Street </t>
  </si>
  <si>
    <t>225 East Washington Avenue</t>
  </si>
  <si>
    <t>2801 Medical Center Drive</t>
  </si>
  <si>
    <t>4313 South Pleasant Crossing Boulevard</t>
  </si>
  <si>
    <t>600 North Seventh Street</t>
  </si>
  <si>
    <t>24 Norris Street</t>
  </si>
  <si>
    <t>101 Hospital Drive</t>
  </si>
  <si>
    <t>1901 Encore Way</t>
  </si>
  <si>
    <t>6700 Chad Colley Boulevard</t>
  </si>
  <si>
    <t>3873 North Parkview Drive</t>
  </si>
  <si>
    <t>960 hwy 71 N</t>
  </si>
  <si>
    <t>4701 Phoenix Ave</t>
  </si>
  <si>
    <t>1400 Braden St</t>
  </si>
  <si>
    <t>1710 Harrison Street</t>
  </si>
  <si>
    <t>1100 East Poplar Street</t>
  </si>
  <si>
    <t>61 Grasse Street</t>
  </si>
  <si>
    <t>638 California Avenue</t>
  </si>
  <si>
    <t>2302 College Avenue</t>
  </si>
  <si>
    <t>624 Hospital Drive</t>
  </si>
  <si>
    <t>3333 Springhill Drive</t>
  </si>
  <si>
    <t>700 West Grove Street</t>
  </si>
  <si>
    <t>900 West Kingshighway</t>
  </si>
  <si>
    <t>310 South Falls Boulevard</t>
  </si>
  <si>
    <t>1601 Murphy Drive</t>
  </si>
  <si>
    <t>Batesville</t>
  </si>
  <si>
    <t>Independence</t>
  </si>
  <si>
    <t>870-262-1200</t>
  </si>
  <si>
    <t>Clarksville</t>
  </si>
  <si>
    <t>Johnson</t>
  </si>
  <si>
    <t>479-754-5454</t>
  </si>
  <si>
    <t>Calico Rock</t>
  </si>
  <si>
    <t>72519-9056</t>
  </si>
  <si>
    <t>Izard</t>
  </si>
  <si>
    <t>870-297-2400</t>
  </si>
  <si>
    <t>Camden</t>
  </si>
  <si>
    <t>Ouachita</t>
  </si>
  <si>
    <t>870-836-1000</t>
  </si>
  <si>
    <t>Conway</t>
  </si>
  <si>
    <t>72034</t>
  </si>
  <si>
    <t>Faulkner</t>
  </si>
  <si>
    <t>501-329-3831</t>
  </si>
  <si>
    <t>Mountain Home</t>
  </si>
  <si>
    <t>Baxter</t>
  </si>
  <si>
    <t>870-508-1000</t>
  </si>
  <si>
    <t>North Little Rock</t>
  </si>
  <si>
    <t>Pulaski</t>
  </si>
  <si>
    <t>501-202-3000</t>
  </si>
  <si>
    <t>El Dorado</t>
  </si>
  <si>
    <t>Union</t>
  </si>
  <si>
    <t>870-863-2000</t>
  </si>
  <si>
    <t>Paragould</t>
  </si>
  <si>
    <t>Greene</t>
  </si>
  <si>
    <t>870-239-7000</t>
  </si>
  <si>
    <t>Wynne</t>
  </si>
  <si>
    <t>Cross</t>
  </si>
  <si>
    <t>870-238-3300</t>
  </si>
  <si>
    <t>Maumelle</t>
  </si>
  <si>
    <t>501-803-3388</t>
  </si>
  <si>
    <t>Arkansas</t>
  </si>
  <si>
    <t>Fordyce</t>
  </si>
  <si>
    <t>Dallas</t>
  </si>
  <si>
    <t>870-352-6300</t>
  </si>
  <si>
    <t>Little Rock</t>
  </si>
  <si>
    <t>72205-7199</t>
  </si>
  <si>
    <t>501-686-5000</t>
  </si>
  <si>
    <t>Hot Springs</t>
  </si>
  <si>
    <t>Garland</t>
  </si>
  <si>
    <t>501-321-1000</t>
  </si>
  <si>
    <t>Russellvillle</t>
  </si>
  <si>
    <t>Pope</t>
  </si>
  <si>
    <t>479-968-2841</t>
  </si>
  <si>
    <t>Sherwood</t>
  </si>
  <si>
    <t>501-552-7100</t>
  </si>
  <si>
    <t>Pine Bluff</t>
  </si>
  <si>
    <t>Jefferson</t>
  </si>
  <si>
    <t>870-541-7100</t>
  </si>
  <si>
    <t>Arkadelphia</t>
  </si>
  <si>
    <t>Clark</t>
  </si>
  <si>
    <t>870-245-2622</t>
  </si>
  <si>
    <t>Salem</t>
  </si>
  <si>
    <t>Fulton</t>
  </si>
  <si>
    <t>870-895-2691</t>
  </si>
  <si>
    <t>Clinton</t>
  </si>
  <si>
    <t>Van Buren</t>
  </si>
  <si>
    <t>501-745-7000</t>
  </si>
  <si>
    <t>Crossett</t>
  </si>
  <si>
    <t>Ashley</t>
  </si>
  <si>
    <t>870-364-4111</t>
  </si>
  <si>
    <t>Springdale</t>
  </si>
  <si>
    <t>Washington</t>
  </si>
  <si>
    <t>479-757-2600</t>
  </si>
  <si>
    <t>501-932-3500</t>
  </si>
  <si>
    <t>501-748-8000</t>
  </si>
  <si>
    <t>Warren</t>
  </si>
  <si>
    <t>Bradley</t>
  </si>
  <si>
    <t>870-226-3731</t>
  </si>
  <si>
    <t>Piggott</t>
  </si>
  <si>
    <t>Clay</t>
  </si>
  <si>
    <t>870-598-3881</t>
  </si>
  <si>
    <t>Mena</t>
  </si>
  <si>
    <t>Polk</t>
  </si>
  <si>
    <t>Forrest City</t>
  </si>
  <si>
    <t>72335</t>
  </si>
  <si>
    <t>St. Francis</t>
  </si>
  <si>
    <t>870-261-0000</t>
  </si>
  <si>
    <t>Dumas</t>
  </si>
  <si>
    <t>Desha</t>
  </si>
  <si>
    <t>870-382-4303</t>
  </si>
  <si>
    <t>Fort Smith</t>
  </si>
  <si>
    <t>Sebastian</t>
  </si>
  <si>
    <t>Heber Springs</t>
  </si>
  <si>
    <t>Cleburne</t>
  </si>
  <si>
    <t>501-887-3000</t>
  </si>
  <si>
    <t>72764-5335</t>
  </si>
  <si>
    <t>479-751-5711</t>
  </si>
  <si>
    <t>479-684-3000</t>
  </si>
  <si>
    <t>Searcy</t>
  </si>
  <si>
    <t>White</t>
  </si>
  <si>
    <t>501-278-3155</t>
  </si>
  <si>
    <t>Bentonville</t>
  </si>
  <si>
    <t>Benton</t>
  </si>
  <si>
    <t>479-553-1000</t>
  </si>
  <si>
    <t>Harrison</t>
  </si>
  <si>
    <t>Boone</t>
  </si>
  <si>
    <t>870-414-4000</t>
  </si>
  <si>
    <t>501-686-9000</t>
  </si>
  <si>
    <t>Gravette</t>
  </si>
  <si>
    <t>72736-9121</t>
  </si>
  <si>
    <t>417-837-2012</t>
  </si>
  <si>
    <t>Stuttgart</t>
  </si>
  <si>
    <t>72160-1905</t>
  </si>
  <si>
    <t>870-674-6301</t>
  </si>
  <si>
    <t>72209-7056</t>
  </si>
  <si>
    <t>501-455-7101</t>
  </si>
  <si>
    <t>Blytheville</t>
  </si>
  <si>
    <t>72315-1448</t>
  </si>
  <si>
    <t>Mississippi</t>
  </si>
  <si>
    <t>870-838-7300</t>
  </si>
  <si>
    <t>Osceola</t>
  </si>
  <si>
    <t>870-563-7000</t>
  </si>
  <si>
    <t>Nashville</t>
  </si>
  <si>
    <t>Howard</t>
  </si>
  <si>
    <t>870-845-4400</t>
  </si>
  <si>
    <t>Fayetteville</t>
  </si>
  <si>
    <t>72704-5637</t>
  </si>
  <si>
    <t>479-973-6000</t>
  </si>
  <si>
    <t>501-364-1100</t>
  </si>
  <si>
    <t>Jonesboro</t>
  </si>
  <si>
    <t>72405</t>
  </si>
  <si>
    <t>Craighead</t>
  </si>
  <si>
    <t>870-932-2800</t>
  </si>
  <si>
    <t>McGehee</t>
  </si>
  <si>
    <t>71654-2526</t>
  </si>
  <si>
    <t>870-222-5600</t>
  </si>
  <si>
    <t>Malvern</t>
  </si>
  <si>
    <t>72104</t>
  </si>
  <si>
    <t>Hot Spring</t>
  </si>
  <si>
    <t>501-467-3400</t>
  </si>
  <si>
    <t>Berryville</t>
  </si>
  <si>
    <t>72616-4303</t>
  </si>
  <si>
    <t>Carroll</t>
  </si>
  <si>
    <t>870-423-3355</t>
  </si>
  <si>
    <t>Siloam Springs</t>
  </si>
  <si>
    <t>479-215-3000</t>
  </si>
  <si>
    <t>Hope</t>
  </si>
  <si>
    <t>71801-8124</t>
  </si>
  <si>
    <t>Hempstead</t>
  </si>
  <si>
    <t>870-722-3800</t>
  </si>
  <si>
    <t>Rogers</t>
  </si>
  <si>
    <t>72758-1452</t>
  </si>
  <si>
    <t>479-338-8000</t>
  </si>
  <si>
    <t>Monticello</t>
  </si>
  <si>
    <t>Drew</t>
  </si>
  <si>
    <t>870-460-3539</t>
  </si>
  <si>
    <t>Danville</t>
  </si>
  <si>
    <t>72833-0639</t>
  </si>
  <si>
    <t>Yell</t>
  </si>
  <si>
    <t>479-495-2241</t>
  </si>
  <si>
    <t>Paris</t>
  </si>
  <si>
    <t>Logan</t>
  </si>
  <si>
    <t>479-963-6101</t>
  </si>
  <si>
    <t>Ozark</t>
  </si>
  <si>
    <t>Franklin</t>
  </si>
  <si>
    <t>479-667-4138</t>
  </si>
  <si>
    <t>Waldron</t>
  </si>
  <si>
    <t>Scott</t>
  </si>
  <si>
    <t>479-637-4135</t>
  </si>
  <si>
    <t>479-314-6000</t>
  </si>
  <si>
    <t>72205-6321</t>
  </si>
  <si>
    <t>501-202-7578</t>
  </si>
  <si>
    <t>Booneville</t>
  </si>
  <si>
    <t>72927-3443</t>
  </si>
  <si>
    <t>479-675-2800</t>
  </si>
  <si>
    <t>Mountain View</t>
  </si>
  <si>
    <t>Stone</t>
  </si>
  <si>
    <t>870-269-4361</t>
  </si>
  <si>
    <t>72405-8413</t>
  </si>
  <si>
    <t>870-936-1000</t>
  </si>
  <si>
    <t>479-521-5731</t>
  </si>
  <si>
    <t>Barling</t>
  </si>
  <si>
    <t>72923-1660</t>
  </si>
  <si>
    <t>479-494-5700</t>
  </si>
  <si>
    <t>Texarkana</t>
  </si>
  <si>
    <t>71854</t>
  </si>
  <si>
    <t>Miller</t>
  </si>
  <si>
    <t>870-772-5028</t>
  </si>
  <si>
    <t>72104-4811</t>
  </si>
  <si>
    <t>501-332-1000</t>
  </si>
  <si>
    <t>72903</t>
  </si>
  <si>
    <t>501-219-7000</t>
  </si>
  <si>
    <t>71913-6408</t>
  </si>
  <si>
    <t>501-622-1120</t>
  </si>
  <si>
    <t>479-463-1000</t>
  </si>
  <si>
    <t>71901-4003</t>
  </si>
  <si>
    <t>501-624-1281</t>
  </si>
  <si>
    <t>501-771-1500</t>
  </si>
  <si>
    <t>72019-0908</t>
  </si>
  <si>
    <t>Saline</t>
  </si>
  <si>
    <t>501-316-1255</t>
  </si>
  <si>
    <t>Lake Village</t>
  </si>
  <si>
    <t>71653-6136</t>
  </si>
  <si>
    <t>Chicot</t>
  </si>
  <si>
    <t>870-265-5351</t>
  </si>
  <si>
    <t>Ashdown</t>
  </si>
  <si>
    <t>Little River</t>
  </si>
  <si>
    <t>870-898-5011</t>
  </si>
  <si>
    <t>501-776-6000</t>
  </si>
  <si>
    <t>72032-7824</t>
  </si>
  <si>
    <t>501-585-2000</t>
  </si>
  <si>
    <t>Morrilton</t>
  </si>
  <si>
    <t>72110-4510</t>
  </si>
  <si>
    <t>501-977-2300</t>
  </si>
  <si>
    <t>501-202-1070</t>
  </si>
  <si>
    <t>72401-7415</t>
  </si>
  <si>
    <t>870-819-4040</t>
  </si>
  <si>
    <t>72903-4100</t>
  </si>
  <si>
    <t>479-314-4900</t>
  </si>
  <si>
    <t>71913-6406</t>
  </si>
  <si>
    <t>501-609-4300</t>
  </si>
  <si>
    <t>72034-8334</t>
  </si>
  <si>
    <t>501-205-0011</t>
  </si>
  <si>
    <t>72762</t>
  </si>
  <si>
    <t>479-725-6800</t>
  </si>
  <si>
    <t>501-223-3322</t>
  </si>
  <si>
    <t>71653</t>
  </si>
  <si>
    <t>870-265-4333</t>
  </si>
  <si>
    <t>West Memphis</t>
  </si>
  <si>
    <t>72301-2017</t>
  </si>
  <si>
    <t>Crittenden</t>
  </si>
  <si>
    <t>870-394-7800</t>
  </si>
  <si>
    <t>72901-5158</t>
  </si>
  <si>
    <t>479-785-3300</t>
  </si>
  <si>
    <t>71913-6912</t>
  </si>
  <si>
    <t>501-651-2000</t>
  </si>
  <si>
    <t>72120-5074</t>
  </si>
  <si>
    <t>501-834-1800</t>
  </si>
  <si>
    <t>72401-4311</t>
  </si>
  <si>
    <t>870-932-0440</t>
  </si>
  <si>
    <t>72703-4002</t>
  </si>
  <si>
    <t>479-444-2200</t>
  </si>
  <si>
    <t>72205-5423</t>
  </si>
  <si>
    <t>501-265-0622</t>
  </si>
  <si>
    <t>Walnut Ridge</t>
  </si>
  <si>
    <t>72476-1430</t>
  </si>
  <si>
    <t>Lawrence</t>
  </si>
  <si>
    <t>870-886-1200</t>
  </si>
  <si>
    <t>72205-5499</t>
  </si>
  <si>
    <t>501-552-3000</t>
  </si>
  <si>
    <t>Helena</t>
  </si>
  <si>
    <t>Phillips</t>
  </si>
  <si>
    <t>870-338-5800</t>
  </si>
  <si>
    <t>72956-5322</t>
  </si>
  <si>
    <t>Crawford</t>
  </si>
  <si>
    <t>479-474-3401</t>
  </si>
  <si>
    <t>72901-4921</t>
  </si>
  <si>
    <t>479-441-4000</t>
  </si>
  <si>
    <t>Dardanelle</t>
  </si>
  <si>
    <t>72834-4677</t>
  </si>
  <si>
    <t>479-229-4677</t>
  </si>
  <si>
    <t>Cabot</t>
  </si>
  <si>
    <t>Lonoke</t>
  </si>
  <si>
    <t>501-333-9110</t>
  </si>
  <si>
    <t>501-268-6121</t>
  </si>
  <si>
    <t>501-278-3100</t>
  </si>
  <si>
    <t>72401-3111</t>
  </si>
  <si>
    <t>870-972-4100</t>
  </si>
  <si>
    <t>Pocahontas</t>
  </si>
  <si>
    <t>Randolph</t>
  </si>
  <si>
    <t>870-892-6000</t>
  </si>
  <si>
    <t>479-341-4004</t>
  </si>
  <si>
    <t>72301-3235</t>
  </si>
  <si>
    <t>870-394-4113</t>
  </si>
  <si>
    <t>Eureka Springs</t>
  </si>
  <si>
    <t>479-253-7400</t>
  </si>
  <si>
    <t>Magnolia</t>
  </si>
  <si>
    <t>71753-2415</t>
  </si>
  <si>
    <t>Columbia</t>
  </si>
  <si>
    <t>870-235-3000</t>
  </si>
  <si>
    <t>Bryant</t>
  </si>
  <si>
    <t>501-213-4500</t>
  </si>
  <si>
    <t>72916-6120</t>
  </si>
  <si>
    <t>479-974-5700</t>
  </si>
  <si>
    <t>72703-6286</t>
  </si>
  <si>
    <t>479-571-7070</t>
  </si>
  <si>
    <t>Newport</t>
  </si>
  <si>
    <t>72112-3533</t>
  </si>
  <si>
    <t>Jackson</t>
  </si>
  <si>
    <t>870-523-8911</t>
  </si>
  <si>
    <t>De Queen</t>
  </si>
  <si>
    <t>71832-9415</t>
  </si>
  <si>
    <t>Sevier</t>
  </si>
  <si>
    <t>870-642-6420</t>
  </si>
  <si>
    <t>Jacksonville</t>
  </si>
  <si>
    <t>72076</t>
  </si>
  <si>
    <t>501-453-5000</t>
  </si>
  <si>
    <t>NA</t>
  </si>
  <si>
    <t>TJC</t>
  </si>
  <si>
    <t>Yes</t>
  </si>
  <si>
    <t>CIHQ</t>
  </si>
  <si>
    <t>ACA</t>
  </si>
  <si>
    <t>No</t>
  </si>
  <si>
    <t>DNV</t>
  </si>
  <si>
    <t>224</t>
  </si>
  <si>
    <t>0</t>
  </si>
  <si>
    <t>40 (16)</t>
  </si>
  <si>
    <t>15</t>
  </si>
  <si>
    <t>N</t>
  </si>
  <si>
    <t>90</t>
  </si>
  <si>
    <t>20</t>
  </si>
  <si>
    <t>25</t>
  </si>
  <si>
    <t>180</t>
  </si>
  <si>
    <t>35</t>
  </si>
  <si>
    <t>225</t>
  </si>
  <si>
    <t>18</t>
  </si>
  <si>
    <t>163</t>
  </si>
  <si>
    <t>17</t>
  </si>
  <si>
    <t>170</t>
  </si>
  <si>
    <t>19</t>
  </si>
  <si>
    <t>300</t>
  </si>
  <si>
    <t>47</t>
  </si>
  <si>
    <t>33</t>
  </si>
  <si>
    <t>8</t>
  </si>
  <si>
    <t>49</t>
  </si>
  <si>
    <t>174</t>
  </si>
  <si>
    <t>32</t>
  </si>
  <si>
    <t>222</t>
  </si>
  <si>
    <t>24</t>
  </si>
  <si>
    <t>99</t>
  </si>
  <si>
    <t>336</t>
  </si>
  <si>
    <t>28</t>
  </si>
  <si>
    <t>73</t>
  </si>
  <si>
    <t>48</t>
  </si>
  <si>
    <t>275</t>
  </si>
  <si>
    <t>60</t>
  </si>
  <si>
    <t>4</t>
  </si>
  <si>
    <t>11</t>
  </si>
  <si>
    <t>42</t>
  </si>
  <si>
    <t>30</t>
  </si>
  <si>
    <t>12</t>
  </si>
  <si>
    <t>13</t>
  </si>
  <si>
    <t>360</t>
  </si>
  <si>
    <t>228</t>
  </si>
  <si>
    <t>114</t>
  </si>
  <si>
    <t>110</t>
  </si>
  <si>
    <t>425</t>
  </si>
  <si>
    <t>50</t>
  </si>
  <si>
    <t>Y</t>
  </si>
  <si>
    <t>127</t>
  </si>
  <si>
    <t>70</t>
  </si>
  <si>
    <t>10</t>
  </si>
  <si>
    <t>80</t>
  </si>
  <si>
    <t>177</t>
  </si>
  <si>
    <t>29</t>
  </si>
  <si>
    <t>120</t>
  </si>
  <si>
    <t>14</t>
  </si>
  <si>
    <t>36</t>
  </si>
  <si>
    <t>827</t>
  </si>
  <si>
    <t>61</t>
  </si>
  <si>
    <t>851</t>
  </si>
  <si>
    <t>59</t>
  </si>
  <si>
    <t>40</t>
  </si>
  <si>
    <t>68</t>
  </si>
  <si>
    <t>615</t>
  </si>
  <si>
    <t>440</t>
  </si>
  <si>
    <t>195 Hospital Drive, Cherokee Village, AR  72529</t>
  </si>
  <si>
    <t>1580 E Centerton BLVD, Bentonville, AR 72712-4836</t>
  </si>
  <si>
    <t>12555 Shiloh, Fayetteville, AR 72701</t>
  </si>
  <si>
    <t>4600 Mercy Lane, Springdale, AR  72762</t>
  </si>
  <si>
    <t>1 Mercy Way, Bella Vista, AR 72714</t>
  </si>
  <si>
    <t>Rural Emergency Hospital</t>
  </si>
  <si>
    <t>AR5876</t>
  </si>
  <si>
    <t>AR5911</t>
  </si>
  <si>
    <t>AR5930</t>
  </si>
  <si>
    <t>AR5892</t>
  </si>
  <si>
    <t>AR5923</t>
  </si>
  <si>
    <t>AR5899</t>
  </si>
  <si>
    <t>Baxter Health</t>
  </si>
  <si>
    <t>South Arkansas Regional Hospital</t>
  </si>
  <si>
    <t>Baptist Health Medical Center - Drew County</t>
  </si>
  <si>
    <t>501-202-2000</t>
  </si>
  <si>
    <t>Mercy Rehabilitation Hospital North West Arkansas</t>
  </si>
  <si>
    <t>559</t>
  </si>
  <si>
    <t>76</t>
  </si>
  <si>
    <t>28 (14 beds in Pocahontas)</t>
  </si>
  <si>
    <t>65</t>
  </si>
  <si>
    <t>381</t>
  </si>
  <si>
    <t>253</t>
  </si>
  <si>
    <t>Doing Business As</t>
  </si>
  <si>
    <t>Physical Address City</t>
  </si>
  <si>
    <t>Physical Address Zip Code</t>
  </si>
  <si>
    <t>Physical Address County</t>
  </si>
  <si>
    <t>Phone Number</t>
  </si>
  <si>
    <t>2024 Cert Card #</t>
  </si>
  <si>
    <t>Jefferson Regional Specialty Hospital</t>
  </si>
  <si>
    <t>1500 W. Holland Avenue</t>
  </si>
  <si>
    <t>White Hall</t>
  </si>
  <si>
    <t>(870) 939-6500</t>
  </si>
  <si>
    <t>AR5988</t>
  </si>
  <si>
    <t>CHIQ</t>
  </si>
  <si>
    <t>Hospital Provider List Rev. 02/04/2025</t>
  </si>
  <si>
    <t>Izard Regional Hospital, LLC</t>
  </si>
  <si>
    <t>DeWitt Hospital &amp; Nursing Home, Inc.</t>
  </si>
  <si>
    <t>1641 South Whitehead Drive</t>
  </si>
  <si>
    <t>DeWitt</t>
  </si>
  <si>
    <t>870-946-3571</t>
  </si>
  <si>
    <t>479-243-2237</t>
  </si>
  <si>
    <t>Select Specialty Hospital - Fort Smith, Inc.</t>
  </si>
  <si>
    <t>1001 Towson Avenue, Sixth Floor</t>
  </si>
  <si>
    <t>72901</t>
  </si>
  <si>
    <t>479-441-3960</t>
  </si>
  <si>
    <t>3215 North Hills Boulevard</t>
  </si>
  <si>
    <t>Arkansas Extended Care Hospital - Fort Smith</t>
  </si>
  <si>
    <t>1205 McLain Street</t>
  </si>
  <si>
    <t>NO</t>
  </si>
  <si>
    <t>263</t>
  </si>
  <si>
    <t>113</t>
  </si>
  <si>
    <t>83</t>
  </si>
  <si>
    <t>571 (total for all 3 facilities)</t>
  </si>
  <si>
    <t>n</t>
  </si>
  <si>
    <t>NICU</t>
  </si>
  <si>
    <t>Rural Emergency Hospital - (REH)</t>
  </si>
  <si>
    <t>AR6012</t>
  </si>
  <si>
    <t>AR5943</t>
  </si>
  <si>
    <t>AR4423</t>
  </si>
  <si>
    <t>AR5985</t>
  </si>
  <si>
    <t>AR6043</t>
  </si>
  <si>
    <t>AR5956</t>
  </si>
  <si>
    <t>AR6004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</si>
</sst>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36"/>
      <color rgb="FF000000"/>
      <name val="Angsana New"/>
      <family val="1"/>
      <charset val="222"/>
    </font>
    <font>
      <sz val="11"/>
      <color rgb="FF000000"/>
      <name val="Calibri"/>
      <family val="2"/>
      <scheme val="minor"/>
    </font>
    <font>
      <sz val="10"/>
      <name val="Arial"/>
      <family val="2"/>
    </font>
    <font>
      <b/>
      <sz val="16"/>
      <color theme="1"/>
      <name val="Calibri"/>
      <family val="2"/>
      <scheme val="minor"/>
    </font>
    <font>
      <b/>
      <sz val="16"/>
      <color rgb="FF000000"/>
      <name val="Calibri"/>
      <family val="2"/>
      <scheme val="minor"/>
    </font>
    <font>
      <sz val="12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8CBAD"/>
        <bgColor rgb="FF000000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249977111117893"/>
        <bgColor rgb="FF000000"/>
      </patternFill>
    </fill>
    <fill>
      <patternFill patternType="solid">
        <fgColor rgb="FFF8CBAD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2" borderId="0" xfId="0" applyFont="1" applyFill="1"/>
    <xf numFmtId="0" fontId="0" fillId="5" borderId="0" xfId="0" applyFill="1"/>
    <xf numFmtId="0" fontId="4" fillId="3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/>
    </xf>
    <xf numFmtId="49" fontId="6" fillId="6" borderId="1" xfId="0" applyNumberFormat="1" applyFont="1" applyFill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49" fontId="6" fillId="6" borderId="1" xfId="0" quotePrefix="1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14" fontId="6" fillId="6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8CB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</xdr:rowOff>
    </xdr:from>
    <xdr:to>
      <xdr:col>0</xdr:col>
      <xdr:colOff>1032510</xdr:colOff>
      <xdr:row>2</xdr:row>
      <xdr:rowOff>186561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AC47080-A41D-476D-88E5-9DE96D65A8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"/>
          <a:ext cx="1038225" cy="11562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89FC8-8B36-4846-BFD7-7C2F0CB8C39A}">
  <dimension ref="A1:Y122"/>
  <sheetViews>
    <sheetView tabSelected="1" workbookViewId="0">
      <selection activeCell="W8" sqref="W8"/>
    </sheetView>
  </sheetViews>
  <sheetFormatPr defaultRowHeight="15" x14ac:dyDescent="0.25"/>
  <cols>
    <col min="1" max="1" width="23.5703125" customWidth="1"/>
    <col min="2" max="2" width="27.85546875" customWidth="1"/>
    <col min="3" max="3" width="25.28515625" customWidth="1"/>
    <col min="4" max="4" width="61.5703125" customWidth="1"/>
    <col min="5" max="5" width="54.85546875" customWidth="1"/>
    <col min="6" max="6" width="41.140625" customWidth="1"/>
    <col min="7" max="7" width="31.7109375" customWidth="1"/>
    <col min="8" max="8" width="36.140625" customWidth="1"/>
    <col min="9" max="9" width="32.42578125" customWidth="1"/>
    <col min="10" max="10" width="27.28515625" customWidth="1"/>
    <col min="11" max="11" width="29.7109375" customWidth="1"/>
    <col min="12" max="12" width="25.5703125" customWidth="1"/>
    <col min="13" max="13" width="30" customWidth="1"/>
    <col min="14" max="14" width="35.140625" customWidth="1"/>
    <col min="15" max="15" width="23.7109375" customWidth="1"/>
    <col min="16" max="16" width="27.140625" customWidth="1"/>
    <col min="17" max="17" width="28" customWidth="1"/>
    <col min="18" max="19" width="31.42578125" customWidth="1"/>
    <col min="20" max="20" width="26.85546875" customWidth="1"/>
    <col min="21" max="21" width="30.42578125" customWidth="1"/>
    <col min="22" max="22" width="43.140625" customWidth="1"/>
    <col min="23" max="23" width="54" customWidth="1"/>
    <col min="24" max="24" width="43" customWidth="1"/>
    <col min="25" max="25" width="34.85546875" customWidth="1"/>
  </cols>
  <sheetData>
    <row r="1" spans="1:25" ht="39" customHeight="1" x14ac:dyDescent="1.05">
      <c r="A1" s="11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2"/>
    </row>
    <row r="2" spans="1:25" ht="37.5" customHeight="1" x14ac:dyDescent="1.05">
      <c r="A2" s="11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2"/>
    </row>
    <row r="3" spans="1:25" ht="15" customHeight="1" x14ac:dyDescent="0.25">
      <c r="A3" s="12" t="s">
        <v>742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2"/>
    </row>
    <row r="4" spans="1:25" ht="56.25" customHeight="1" x14ac:dyDescent="0.25">
      <c r="A4" s="3" t="s">
        <v>2</v>
      </c>
      <c r="B4" s="4" t="s">
        <v>735</v>
      </c>
      <c r="C4" s="5" t="s">
        <v>3</v>
      </c>
      <c r="D4" s="3" t="s">
        <v>4</v>
      </c>
      <c r="E4" s="4" t="s">
        <v>730</v>
      </c>
      <c r="F4" s="4" t="s">
        <v>5</v>
      </c>
      <c r="G4" s="4" t="s">
        <v>731</v>
      </c>
      <c r="H4" s="4" t="s">
        <v>732</v>
      </c>
      <c r="I4" s="4" t="s">
        <v>733</v>
      </c>
      <c r="J4" s="4" t="s">
        <v>734</v>
      </c>
      <c r="K4" s="4" t="s">
        <v>7</v>
      </c>
      <c r="L4" s="4" t="s">
        <v>8</v>
      </c>
      <c r="M4" s="4" t="s">
        <v>9</v>
      </c>
      <c r="N4" s="4" t="s">
        <v>10</v>
      </c>
      <c r="O4" s="4" t="s">
        <v>11</v>
      </c>
      <c r="P4" s="4" t="s">
        <v>12</v>
      </c>
      <c r="Q4" s="4" t="s">
        <v>13</v>
      </c>
      <c r="R4" s="4" t="s">
        <v>14</v>
      </c>
      <c r="S4" s="4" t="s">
        <v>762</v>
      </c>
      <c r="T4" s="5" t="s">
        <v>15</v>
      </c>
      <c r="U4" s="5" t="s">
        <v>16</v>
      </c>
      <c r="V4" s="5" t="s">
        <v>17</v>
      </c>
      <c r="W4" s="5" t="s">
        <v>18</v>
      </c>
      <c r="X4" s="5" t="s">
        <v>18</v>
      </c>
      <c r="Y4" s="4" t="s">
        <v>6</v>
      </c>
    </row>
    <row r="5" spans="1:25" ht="15.75" x14ac:dyDescent="0.25">
      <c r="A5" s="6">
        <v>418</v>
      </c>
      <c r="B5" s="6">
        <v>40296</v>
      </c>
      <c r="C5" s="8" t="s">
        <v>121</v>
      </c>
      <c r="D5" s="6" t="s">
        <v>122</v>
      </c>
      <c r="E5" s="7" t="s">
        <v>130</v>
      </c>
      <c r="F5" s="7" t="s">
        <v>336</v>
      </c>
      <c r="G5" s="7" t="s">
        <v>347</v>
      </c>
      <c r="H5" s="7">
        <v>72501</v>
      </c>
      <c r="I5" s="7" t="s">
        <v>348</v>
      </c>
      <c r="J5" s="7" t="s">
        <v>349</v>
      </c>
      <c r="K5" s="7" t="s">
        <v>638</v>
      </c>
      <c r="L5" s="7" t="s">
        <v>638</v>
      </c>
      <c r="M5" s="7" t="s">
        <v>645</v>
      </c>
      <c r="N5" s="7" t="s">
        <v>646</v>
      </c>
      <c r="O5" s="7">
        <v>0</v>
      </c>
      <c r="P5" s="7" t="s">
        <v>647</v>
      </c>
      <c r="Q5" s="7">
        <v>0</v>
      </c>
      <c r="R5" s="7" t="s">
        <v>648</v>
      </c>
      <c r="S5" s="7"/>
      <c r="T5" s="7" t="s">
        <v>645</v>
      </c>
      <c r="U5" s="7" t="s">
        <v>645</v>
      </c>
      <c r="V5" s="7" t="s">
        <v>649</v>
      </c>
      <c r="W5" s="7" t="s">
        <v>707</v>
      </c>
      <c r="X5" s="7"/>
      <c r="Y5" s="9">
        <v>46022</v>
      </c>
    </row>
    <row r="6" spans="1:25" ht="15.75" x14ac:dyDescent="0.25">
      <c r="A6" s="6">
        <v>3028</v>
      </c>
      <c r="B6" s="6">
        <v>40297</v>
      </c>
      <c r="C6" s="8" t="s">
        <v>121</v>
      </c>
      <c r="D6" s="6" t="s">
        <v>122</v>
      </c>
      <c r="E6" s="7" t="s">
        <v>131</v>
      </c>
      <c r="F6" s="7" t="s">
        <v>337</v>
      </c>
      <c r="G6" s="7" t="s">
        <v>350</v>
      </c>
      <c r="H6" s="7">
        <v>72830</v>
      </c>
      <c r="I6" s="7" t="s">
        <v>351</v>
      </c>
      <c r="J6" s="7" t="s">
        <v>352</v>
      </c>
      <c r="K6" s="7" t="s">
        <v>638</v>
      </c>
      <c r="L6" s="7" t="s">
        <v>638</v>
      </c>
      <c r="M6" s="7" t="s">
        <v>650</v>
      </c>
      <c r="N6" s="7">
        <v>0</v>
      </c>
      <c r="O6" s="7">
        <v>0</v>
      </c>
      <c r="P6" s="7" t="s">
        <v>651</v>
      </c>
      <c r="Q6" s="7">
        <v>0</v>
      </c>
      <c r="R6" s="7">
        <v>12</v>
      </c>
      <c r="S6" s="7"/>
      <c r="T6" s="7" t="s">
        <v>650</v>
      </c>
      <c r="U6" s="7" t="s">
        <v>650</v>
      </c>
      <c r="V6" s="7" t="s">
        <v>649</v>
      </c>
      <c r="W6" s="7"/>
      <c r="X6" s="7"/>
      <c r="Y6" s="9">
        <v>46022</v>
      </c>
    </row>
    <row r="7" spans="1:25" ht="15.75" x14ac:dyDescent="0.25">
      <c r="A7" s="6" t="s">
        <v>19</v>
      </c>
      <c r="B7" s="6">
        <v>40298</v>
      </c>
      <c r="C7" s="8" t="s">
        <v>121</v>
      </c>
      <c r="D7" s="6" t="s">
        <v>123</v>
      </c>
      <c r="E7" s="6" t="s">
        <v>743</v>
      </c>
      <c r="F7" s="6" t="s">
        <v>338</v>
      </c>
      <c r="G7" s="6" t="s">
        <v>353</v>
      </c>
      <c r="H7" s="6" t="s">
        <v>354</v>
      </c>
      <c r="I7" s="6" t="s">
        <v>355</v>
      </c>
      <c r="J7" s="6" t="s">
        <v>356</v>
      </c>
      <c r="K7" s="6" t="s">
        <v>641</v>
      </c>
      <c r="L7" s="6" t="s">
        <v>640</v>
      </c>
      <c r="M7" s="6" t="s">
        <v>652</v>
      </c>
      <c r="N7" s="6" t="s">
        <v>646</v>
      </c>
      <c r="O7" s="6" t="s">
        <v>652</v>
      </c>
      <c r="P7" s="6" t="s">
        <v>646</v>
      </c>
      <c r="Q7" s="6" t="s">
        <v>646</v>
      </c>
      <c r="R7" s="6" t="s">
        <v>646</v>
      </c>
      <c r="S7" s="6"/>
      <c r="T7" s="6" t="s">
        <v>652</v>
      </c>
      <c r="U7" s="6" t="s">
        <v>652</v>
      </c>
      <c r="V7" s="6" t="s">
        <v>649</v>
      </c>
      <c r="W7" s="6"/>
      <c r="X7" s="6"/>
      <c r="Y7" s="9">
        <v>46022</v>
      </c>
    </row>
    <row r="8" spans="1:25" ht="15.75" x14ac:dyDescent="0.25">
      <c r="A8" s="6" t="s">
        <v>20</v>
      </c>
      <c r="B8" s="6">
        <v>40299</v>
      </c>
      <c r="C8" s="8" t="s">
        <v>121</v>
      </c>
      <c r="D8" s="6" t="s">
        <v>122</v>
      </c>
      <c r="E8" s="7" t="s">
        <v>132</v>
      </c>
      <c r="F8" s="7" t="s">
        <v>339</v>
      </c>
      <c r="G8" s="7" t="s">
        <v>357</v>
      </c>
      <c r="H8" s="7">
        <v>71701</v>
      </c>
      <c r="I8" s="7" t="s">
        <v>358</v>
      </c>
      <c r="J8" s="7" t="s">
        <v>359</v>
      </c>
      <c r="K8" s="7" t="s">
        <v>638</v>
      </c>
      <c r="L8" s="7" t="s">
        <v>638</v>
      </c>
      <c r="M8" s="7">
        <v>98</v>
      </c>
      <c r="N8" s="7">
        <v>0</v>
      </c>
      <c r="O8" s="7">
        <v>98</v>
      </c>
      <c r="P8" s="7" t="s">
        <v>646</v>
      </c>
      <c r="Q8" s="7">
        <v>11</v>
      </c>
      <c r="R8" s="7">
        <v>0</v>
      </c>
      <c r="S8" s="7"/>
      <c r="T8" s="7">
        <f>SUM(M8:N8)</f>
        <v>98</v>
      </c>
      <c r="U8" s="7">
        <v>98</v>
      </c>
      <c r="V8" s="7" t="s">
        <v>649</v>
      </c>
      <c r="W8" s="7"/>
      <c r="X8" s="7"/>
      <c r="Y8" s="9">
        <v>46022</v>
      </c>
    </row>
    <row r="9" spans="1:25" ht="15.75" x14ac:dyDescent="0.25">
      <c r="A9" s="6" t="s">
        <v>21</v>
      </c>
      <c r="B9" s="6">
        <v>40300</v>
      </c>
      <c r="C9" s="8" t="s">
        <v>121</v>
      </c>
      <c r="D9" s="6" t="s">
        <v>122</v>
      </c>
      <c r="E9" s="7" t="s">
        <v>133</v>
      </c>
      <c r="F9" s="7" t="s">
        <v>340</v>
      </c>
      <c r="G9" s="7" t="s">
        <v>360</v>
      </c>
      <c r="H9" s="7" t="s">
        <v>361</v>
      </c>
      <c r="I9" s="7" t="s">
        <v>362</v>
      </c>
      <c r="J9" s="7" t="s">
        <v>363</v>
      </c>
      <c r="K9" s="7" t="s">
        <v>639</v>
      </c>
      <c r="L9" s="7" t="s">
        <v>640</v>
      </c>
      <c r="M9" s="7" t="s">
        <v>653</v>
      </c>
      <c r="N9" s="7">
        <v>0</v>
      </c>
      <c r="O9" s="7">
        <v>0</v>
      </c>
      <c r="P9" s="7">
        <v>11</v>
      </c>
      <c r="Q9" s="7">
        <v>0</v>
      </c>
      <c r="R9" s="7">
        <v>0</v>
      </c>
      <c r="S9" s="7"/>
      <c r="T9" s="7" t="s">
        <v>653</v>
      </c>
      <c r="U9" s="7" t="s">
        <v>653</v>
      </c>
      <c r="V9" s="7" t="s">
        <v>649</v>
      </c>
      <c r="W9" s="7"/>
      <c r="X9" s="7"/>
      <c r="Y9" s="9">
        <v>46022</v>
      </c>
    </row>
    <row r="10" spans="1:25" ht="15.75" x14ac:dyDescent="0.25">
      <c r="A10" s="6" t="s">
        <v>713</v>
      </c>
      <c r="B10" s="6">
        <v>40301</v>
      </c>
      <c r="C10" s="8" t="s">
        <v>121</v>
      </c>
      <c r="D10" s="6" t="s">
        <v>122</v>
      </c>
      <c r="E10" s="7" t="s">
        <v>719</v>
      </c>
      <c r="F10" s="7" t="s">
        <v>341</v>
      </c>
      <c r="G10" s="7" t="s">
        <v>364</v>
      </c>
      <c r="H10" s="7">
        <v>72653</v>
      </c>
      <c r="I10" s="7" t="s">
        <v>365</v>
      </c>
      <c r="J10" s="7" t="s">
        <v>366</v>
      </c>
      <c r="K10" s="7" t="s">
        <v>638</v>
      </c>
      <c r="L10" s="7" t="s">
        <v>638</v>
      </c>
      <c r="M10" s="7">
        <v>268</v>
      </c>
      <c r="N10" s="7">
        <v>0</v>
      </c>
      <c r="O10" s="7">
        <v>0</v>
      </c>
      <c r="P10" s="7" t="s">
        <v>654</v>
      </c>
      <c r="Q10" s="7">
        <v>0</v>
      </c>
      <c r="R10" s="7">
        <v>23</v>
      </c>
      <c r="S10" s="7"/>
      <c r="T10" s="7">
        <f>SUM(M10:N10)</f>
        <v>268</v>
      </c>
      <c r="U10" s="7">
        <v>268</v>
      </c>
      <c r="V10" s="7" t="s">
        <v>649</v>
      </c>
      <c r="W10" s="7"/>
      <c r="X10" s="7"/>
      <c r="Y10" s="9">
        <v>46022</v>
      </c>
    </row>
    <row r="11" spans="1:25" ht="15.75" x14ac:dyDescent="0.25">
      <c r="A11" s="6" t="s">
        <v>22</v>
      </c>
      <c r="B11" s="6">
        <v>40302</v>
      </c>
      <c r="C11" s="8" t="s">
        <v>121</v>
      </c>
      <c r="D11" s="6" t="s">
        <v>122</v>
      </c>
      <c r="E11" s="7" t="s">
        <v>134</v>
      </c>
      <c r="F11" s="7" t="s">
        <v>342</v>
      </c>
      <c r="G11" s="7" t="s">
        <v>367</v>
      </c>
      <c r="H11" s="7">
        <v>72117</v>
      </c>
      <c r="I11" s="7" t="s">
        <v>368</v>
      </c>
      <c r="J11" s="7" t="s">
        <v>369</v>
      </c>
      <c r="K11" s="7" t="s">
        <v>639</v>
      </c>
      <c r="L11" s="7" t="s">
        <v>640</v>
      </c>
      <c r="M11" s="7" t="s">
        <v>655</v>
      </c>
      <c r="N11" s="7" t="s">
        <v>646</v>
      </c>
      <c r="O11" s="7" t="s">
        <v>646</v>
      </c>
      <c r="P11" s="7" t="s">
        <v>646</v>
      </c>
      <c r="Q11" s="7" t="s">
        <v>646</v>
      </c>
      <c r="R11" s="7" t="s">
        <v>654</v>
      </c>
      <c r="S11" s="7"/>
      <c r="T11" s="7" t="s">
        <v>655</v>
      </c>
      <c r="U11" s="7" t="s">
        <v>655</v>
      </c>
      <c r="V11" s="7" t="s">
        <v>649</v>
      </c>
      <c r="W11" s="7"/>
      <c r="X11" s="7"/>
      <c r="Y11" s="9">
        <v>46022</v>
      </c>
    </row>
    <row r="12" spans="1:25" ht="15.75" x14ac:dyDescent="0.25">
      <c r="A12" s="6" t="s">
        <v>714</v>
      </c>
      <c r="B12" s="6">
        <v>40303</v>
      </c>
      <c r="C12" s="8" t="s">
        <v>121</v>
      </c>
      <c r="D12" s="6" t="s">
        <v>122</v>
      </c>
      <c r="E12" s="6" t="s">
        <v>720</v>
      </c>
      <c r="F12" s="6" t="s">
        <v>343</v>
      </c>
      <c r="G12" s="6" t="s">
        <v>370</v>
      </c>
      <c r="H12" s="6">
        <v>71730</v>
      </c>
      <c r="I12" s="6" t="s">
        <v>371</v>
      </c>
      <c r="J12" s="6" t="s">
        <v>372</v>
      </c>
      <c r="K12" s="6" t="s">
        <v>639</v>
      </c>
      <c r="L12" s="6" t="s">
        <v>640</v>
      </c>
      <c r="M12" s="6">
        <v>166</v>
      </c>
      <c r="N12" s="6">
        <v>0</v>
      </c>
      <c r="O12" s="6">
        <v>0</v>
      </c>
      <c r="P12" s="6" t="s">
        <v>656</v>
      </c>
      <c r="Q12" s="6">
        <v>0</v>
      </c>
      <c r="R12" s="6">
        <v>20</v>
      </c>
      <c r="S12" s="6"/>
      <c r="T12" s="6">
        <f t="shared" ref="T12:T17" si="0">SUM(M12:N12)</f>
        <v>166</v>
      </c>
      <c r="U12" s="6">
        <v>166</v>
      </c>
      <c r="V12" s="6" t="s">
        <v>649</v>
      </c>
      <c r="W12" s="6"/>
      <c r="X12" s="6"/>
      <c r="Y12" s="9">
        <v>46022</v>
      </c>
    </row>
    <row r="13" spans="1:25" ht="15.75" x14ac:dyDescent="0.25">
      <c r="A13" s="6" t="s">
        <v>23</v>
      </c>
      <c r="B13" s="6">
        <v>40304</v>
      </c>
      <c r="C13" s="8" t="s">
        <v>121</v>
      </c>
      <c r="D13" s="6" t="s">
        <v>122</v>
      </c>
      <c r="E13" s="7" t="s">
        <v>135</v>
      </c>
      <c r="F13" s="7" t="s">
        <v>344</v>
      </c>
      <c r="G13" s="7" t="s">
        <v>373</v>
      </c>
      <c r="H13" s="7">
        <v>72450</v>
      </c>
      <c r="I13" s="7" t="s">
        <v>374</v>
      </c>
      <c r="J13" s="7" t="s">
        <v>375</v>
      </c>
      <c r="K13" s="7" t="s">
        <v>639</v>
      </c>
      <c r="L13" s="7" t="s">
        <v>640</v>
      </c>
      <c r="M13" s="7">
        <v>129</v>
      </c>
      <c r="N13" s="7">
        <v>0</v>
      </c>
      <c r="O13" s="7">
        <v>129</v>
      </c>
      <c r="P13" s="7">
        <v>0</v>
      </c>
      <c r="Q13" s="7">
        <v>0</v>
      </c>
      <c r="R13" s="7">
        <v>15</v>
      </c>
      <c r="S13" s="7"/>
      <c r="T13" s="7">
        <f t="shared" si="0"/>
        <v>129</v>
      </c>
      <c r="U13" s="7">
        <v>129</v>
      </c>
      <c r="V13" s="7" t="s">
        <v>649</v>
      </c>
      <c r="W13" s="7"/>
      <c r="X13" s="7"/>
      <c r="Y13" s="9">
        <v>46022</v>
      </c>
    </row>
    <row r="14" spans="1:25" ht="15.75" x14ac:dyDescent="0.25">
      <c r="A14" s="6" t="s">
        <v>24</v>
      </c>
      <c r="B14" s="6">
        <v>40305</v>
      </c>
      <c r="C14" s="8" t="s">
        <v>121</v>
      </c>
      <c r="D14" s="6" t="s">
        <v>123</v>
      </c>
      <c r="E14" s="7" t="s">
        <v>136</v>
      </c>
      <c r="F14" s="7" t="s">
        <v>345</v>
      </c>
      <c r="G14" s="7" t="s">
        <v>376</v>
      </c>
      <c r="H14" s="7">
        <v>72396</v>
      </c>
      <c r="I14" s="7" t="s">
        <v>377</v>
      </c>
      <c r="J14" s="7" t="s">
        <v>378</v>
      </c>
      <c r="K14" s="7" t="s">
        <v>639</v>
      </c>
      <c r="L14" s="7" t="s">
        <v>640</v>
      </c>
      <c r="M14" s="7">
        <v>25</v>
      </c>
      <c r="N14" s="7">
        <v>0</v>
      </c>
      <c r="O14" s="7">
        <v>25</v>
      </c>
      <c r="P14" s="7">
        <v>0</v>
      </c>
      <c r="Q14" s="7">
        <v>0</v>
      </c>
      <c r="R14" s="7">
        <v>0</v>
      </c>
      <c r="S14" s="7"/>
      <c r="T14" s="7">
        <f t="shared" si="0"/>
        <v>25</v>
      </c>
      <c r="U14" s="7">
        <v>25</v>
      </c>
      <c r="V14" s="7" t="s">
        <v>649</v>
      </c>
      <c r="W14" s="7"/>
      <c r="X14" s="7"/>
      <c r="Y14" s="9">
        <v>46022</v>
      </c>
    </row>
    <row r="15" spans="1:25" ht="15.75" x14ac:dyDescent="0.25">
      <c r="A15" s="6" t="s">
        <v>25</v>
      </c>
      <c r="B15" s="6">
        <v>40306</v>
      </c>
      <c r="C15" s="8" t="s">
        <v>121</v>
      </c>
      <c r="D15" s="6" t="s">
        <v>124</v>
      </c>
      <c r="E15" s="7" t="s">
        <v>137</v>
      </c>
      <c r="F15" s="7" t="s">
        <v>346</v>
      </c>
      <c r="G15" s="7" t="s">
        <v>379</v>
      </c>
      <c r="H15" s="7">
        <v>72113</v>
      </c>
      <c r="I15" s="7" t="s">
        <v>368</v>
      </c>
      <c r="J15" s="7" t="s">
        <v>380</v>
      </c>
      <c r="K15" s="7" t="s">
        <v>639</v>
      </c>
      <c r="L15" s="7" t="s">
        <v>640</v>
      </c>
      <c r="M15" s="7">
        <v>60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/>
      <c r="T15" s="7">
        <f t="shared" si="0"/>
        <v>60</v>
      </c>
      <c r="U15" s="7">
        <v>60</v>
      </c>
      <c r="V15" s="7" t="s">
        <v>649</v>
      </c>
      <c r="W15" s="7"/>
      <c r="X15" s="7"/>
      <c r="Y15" s="9">
        <v>46022</v>
      </c>
    </row>
    <row r="16" spans="1:25" ht="15.75" x14ac:dyDescent="0.25">
      <c r="A16" s="6" t="s">
        <v>764</v>
      </c>
      <c r="B16" s="6">
        <v>40307</v>
      </c>
      <c r="C16" s="8" t="s">
        <v>121</v>
      </c>
      <c r="D16" s="6" t="s">
        <v>712</v>
      </c>
      <c r="E16" s="7" t="s">
        <v>744</v>
      </c>
      <c r="F16" s="7" t="s">
        <v>745</v>
      </c>
      <c r="G16" s="7" t="s">
        <v>746</v>
      </c>
      <c r="H16" s="7">
        <v>72042</v>
      </c>
      <c r="I16" s="7" t="s">
        <v>381</v>
      </c>
      <c r="J16" s="7" t="s">
        <v>747</v>
      </c>
      <c r="K16" s="7" t="s">
        <v>638</v>
      </c>
      <c r="L16" s="7" t="s">
        <v>638</v>
      </c>
      <c r="M16" s="7" t="s">
        <v>646</v>
      </c>
      <c r="N16" s="7">
        <v>0</v>
      </c>
      <c r="O16" s="7" t="s">
        <v>646</v>
      </c>
      <c r="P16" s="7">
        <v>0</v>
      </c>
      <c r="Q16" s="7">
        <v>0</v>
      </c>
      <c r="R16" s="7">
        <v>0</v>
      </c>
      <c r="S16" s="7"/>
      <c r="T16" s="7">
        <f t="shared" si="0"/>
        <v>0</v>
      </c>
      <c r="U16" s="7">
        <v>25</v>
      </c>
      <c r="V16" s="7" t="s">
        <v>649</v>
      </c>
      <c r="W16" s="7"/>
      <c r="X16" s="7"/>
      <c r="Y16" s="9">
        <v>46022</v>
      </c>
    </row>
    <row r="17" spans="1:25" ht="15.75" x14ac:dyDescent="0.25">
      <c r="A17" s="6" t="s">
        <v>26</v>
      </c>
      <c r="B17" s="6">
        <v>40308</v>
      </c>
      <c r="C17" s="8" t="s">
        <v>121</v>
      </c>
      <c r="D17" s="6" t="s">
        <v>123</v>
      </c>
      <c r="E17" s="7" t="s">
        <v>138</v>
      </c>
      <c r="F17" s="7" t="s">
        <v>236</v>
      </c>
      <c r="G17" s="7" t="s">
        <v>382</v>
      </c>
      <c r="H17" s="7">
        <v>71742</v>
      </c>
      <c r="I17" s="7" t="s">
        <v>383</v>
      </c>
      <c r="J17" s="7" t="s">
        <v>384</v>
      </c>
      <c r="K17" s="7" t="s">
        <v>638</v>
      </c>
      <c r="L17" s="7" t="s">
        <v>638</v>
      </c>
      <c r="M17" s="7">
        <v>25</v>
      </c>
      <c r="N17" s="7">
        <v>0</v>
      </c>
      <c r="O17" s="7">
        <v>25</v>
      </c>
      <c r="P17" s="7">
        <v>0</v>
      </c>
      <c r="Q17" s="7">
        <v>0</v>
      </c>
      <c r="R17" s="7">
        <v>0</v>
      </c>
      <c r="S17" s="7"/>
      <c r="T17" s="7">
        <f t="shared" si="0"/>
        <v>25</v>
      </c>
      <c r="U17" s="7">
        <v>25</v>
      </c>
      <c r="V17" s="7" t="s">
        <v>649</v>
      </c>
      <c r="W17" s="7"/>
      <c r="X17" s="7"/>
      <c r="Y17" s="9">
        <v>46022</v>
      </c>
    </row>
    <row r="18" spans="1:25" ht="15.75" x14ac:dyDescent="0.25">
      <c r="A18" s="6" t="s">
        <v>27</v>
      </c>
      <c r="B18" s="6">
        <v>40309</v>
      </c>
      <c r="C18" s="8" t="s">
        <v>121</v>
      </c>
      <c r="D18" s="6" t="s">
        <v>122</v>
      </c>
      <c r="E18" s="7" t="s">
        <v>139</v>
      </c>
      <c r="F18" s="7" t="s">
        <v>237</v>
      </c>
      <c r="G18" s="7" t="s">
        <v>385</v>
      </c>
      <c r="H18" s="7" t="s">
        <v>386</v>
      </c>
      <c r="I18" s="7" t="s">
        <v>368</v>
      </c>
      <c r="J18" s="7" t="s">
        <v>387</v>
      </c>
      <c r="K18" s="7" t="s">
        <v>639</v>
      </c>
      <c r="L18" s="7" t="s">
        <v>640</v>
      </c>
      <c r="M18" s="7" t="s">
        <v>724</v>
      </c>
      <c r="N18" s="7">
        <v>0</v>
      </c>
      <c r="O18" s="7">
        <v>0</v>
      </c>
      <c r="P18" s="7">
        <v>40</v>
      </c>
      <c r="Q18" s="7">
        <v>0</v>
      </c>
      <c r="R18" s="7">
        <v>0</v>
      </c>
      <c r="S18" s="7"/>
      <c r="T18" s="7" t="s">
        <v>724</v>
      </c>
      <c r="U18" s="7" t="s">
        <v>724</v>
      </c>
      <c r="V18" s="7" t="s">
        <v>649</v>
      </c>
      <c r="W18" s="7"/>
      <c r="X18" s="7"/>
      <c r="Y18" s="9">
        <v>46022</v>
      </c>
    </row>
    <row r="19" spans="1:25" ht="15.75" x14ac:dyDescent="0.25">
      <c r="A19" s="6" t="s">
        <v>28</v>
      </c>
      <c r="B19" s="6">
        <v>40310</v>
      </c>
      <c r="C19" s="8" t="s">
        <v>121</v>
      </c>
      <c r="D19" s="6" t="s">
        <v>122</v>
      </c>
      <c r="E19" s="7" t="s">
        <v>140</v>
      </c>
      <c r="F19" s="7" t="s">
        <v>238</v>
      </c>
      <c r="G19" s="7" t="s">
        <v>388</v>
      </c>
      <c r="H19" s="7">
        <v>71901</v>
      </c>
      <c r="I19" s="7" t="s">
        <v>389</v>
      </c>
      <c r="J19" s="7" t="s">
        <v>390</v>
      </c>
      <c r="K19" s="7" t="s">
        <v>639</v>
      </c>
      <c r="L19" s="7" t="s">
        <v>640</v>
      </c>
      <c r="M19" s="7" t="s">
        <v>657</v>
      </c>
      <c r="N19" s="7" t="s">
        <v>646</v>
      </c>
      <c r="O19" s="7">
        <v>0</v>
      </c>
      <c r="P19" s="7" t="s">
        <v>658</v>
      </c>
      <c r="Q19" s="7">
        <v>0</v>
      </c>
      <c r="R19" s="7">
        <v>20</v>
      </c>
      <c r="S19" s="7"/>
      <c r="T19" s="7" t="s">
        <v>657</v>
      </c>
      <c r="U19" s="7" t="s">
        <v>657</v>
      </c>
      <c r="V19" s="7" t="s">
        <v>649</v>
      </c>
      <c r="W19" s="7"/>
      <c r="X19" s="7"/>
      <c r="Y19" s="9">
        <v>46022</v>
      </c>
    </row>
    <row r="20" spans="1:25" ht="15.75" x14ac:dyDescent="0.25">
      <c r="A20" s="6" t="s">
        <v>29</v>
      </c>
      <c r="B20" s="6">
        <v>40311</v>
      </c>
      <c r="C20" s="8" t="s">
        <v>121</v>
      </c>
      <c r="D20" s="6" t="s">
        <v>122</v>
      </c>
      <c r="E20" s="7" t="s">
        <v>141</v>
      </c>
      <c r="F20" s="7" t="s">
        <v>239</v>
      </c>
      <c r="G20" s="7" t="s">
        <v>391</v>
      </c>
      <c r="H20" s="7">
        <v>72801</v>
      </c>
      <c r="I20" s="7" t="s">
        <v>392</v>
      </c>
      <c r="J20" s="7" t="s">
        <v>393</v>
      </c>
      <c r="K20" s="7" t="s">
        <v>639</v>
      </c>
      <c r="L20" s="7" t="s">
        <v>640</v>
      </c>
      <c r="M20" s="7" t="s">
        <v>659</v>
      </c>
      <c r="N20" s="7" t="s">
        <v>646</v>
      </c>
      <c r="O20" s="7">
        <v>0</v>
      </c>
      <c r="P20" s="7" t="s">
        <v>660</v>
      </c>
      <c r="Q20" s="7">
        <v>0</v>
      </c>
      <c r="R20" s="7">
        <v>20</v>
      </c>
      <c r="S20" s="7"/>
      <c r="T20" s="7" t="s">
        <v>659</v>
      </c>
      <c r="U20" s="7">
        <v>170</v>
      </c>
      <c r="V20" s="7" t="s">
        <v>649</v>
      </c>
      <c r="W20" s="7"/>
      <c r="X20" s="7"/>
      <c r="Y20" s="9">
        <v>46022</v>
      </c>
    </row>
    <row r="21" spans="1:25" ht="15.75" x14ac:dyDescent="0.25">
      <c r="A21" s="6" t="s">
        <v>30</v>
      </c>
      <c r="B21" s="6">
        <v>40312</v>
      </c>
      <c r="C21" s="8" t="s">
        <v>121</v>
      </c>
      <c r="D21" s="6" t="s">
        <v>125</v>
      </c>
      <c r="E21" s="7" t="s">
        <v>142</v>
      </c>
      <c r="F21" s="7" t="s">
        <v>240</v>
      </c>
      <c r="G21" s="7" t="s">
        <v>394</v>
      </c>
      <c r="H21" s="7">
        <v>72120</v>
      </c>
      <c r="I21" s="7" t="s">
        <v>368</v>
      </c>
      <c r="J21" s="7" t="s">
        <v>395</v>
      </c>
      <c r="K21" s="7" t="s">
        <v>638</v>
      </c>
      <c r="L21" s="7" t="s">
        <v>638</v>
      </c>
      <c r="M21" s="7">
        <v>69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/>
      <c r="T21" s="7">
        <f>SUM(M21:N21)</f>
        <v>69</v>
      </c>
      <c r="U21" s="7">
        <v>69</v>
      </c>
      <c r="V21" s="7" t="s">
        <v>649</v>
      </c>
      <c r="W21" s="7"/>
      <c r="X21" s="7"/>
      <c r="Y21" s="9">
        <v>46022</v>
      </c>
    </row>
    <row r="22" spans="1:25" ht="15.75" x14ac:dyDescent="0.25">
      <c r="A22" s="6" t="s">
        <v>31</v>
      </c>
      <c r="B22" s="6">
        <v>40313</v>
      </c>
      <c r="C22" s="8" t="s">
        <v>121</v>
      </c>
      <c r="D22" s="6" t="s">
        <v>122</v>
      </c>
      <c r="E22" s="7" t="s">
        <v>143</v>
      </c>
      <c r="F22" s="7" t="s">
        <v>241</v>
      </c>
      <c r="G22" s="7" t="s">
        <v>396</v>
      </c>
      <c r="H22" s="7">
        <v>71603</v>
      </c>
      <c r="I22" s="7" t="s">
        <v>397</v>
      </c>
      <c r="J22" s="7" t="s">
        <v>398</v>
      </c>
      <c r="K22" s="7" t="s">
        <v>638</v>
      </c>
      <c r="L22" s="7" t="s">
        <v>638</v>
      </c>
      <c r="M22" s="7" t="s">
        <v>661</v>
      </c>
      <c r="N22" s="7" t="s">
        <v>646</v>
      </c>
      <c r="O22" s="7">
        <v>0</v>
      </c>
      <c r="P22" s="7" t="s">
        <v>646</v>
      </c>
      <c r="Q22" s="7">
        <v>0</v>
      </c>
      <c r="R22" s="7" t="s">
        <v>646</v>
      </c>
      <c r="S22" s="7"/>
      <c r="T22" s="7" t="s">
        <v>661</v>
      </c>
      <c r="U22" s="7" t="s">
        <v>661</v>
      </c>
      <c r="V22" s="7" t="s">
        <v>649</v>
      </c>
      <c r="W22" s="7"/>
      <c r="X22" s="7"/>
      <c r="Y22" s="9">
        <v>46022</v>
      </c>
    </row>
    <row r="23" spans="1:25" ht="15.75" x14ac:dyDescent="0.25">
      <c r="A23" s="6" t="s">
        <v>32</v>
      </c>
      <c r="B23" s="6">
        <v>40314</v>
      </c>
      <c r="C23" s="8" t="s">
        <v>121</v>
      </c>
      <c r="D23" s="6" t="s">
        <v>126</v>
      </c>
      <c r="E23" s="7" t="s">
        <v>144</v>
      </c>
      <c r="F23" s="7" t="s">
        <v>242</v>
      </c>
      <c r="G23" s="7" t="s">
        <v>399</v>
      </c>
      <c r="H23" s="7">
        <v>71923</v>
      </c>
      <c r="I23" s="7" t="s">
        <v>400</v>
      </c>
      <c r="J23" s="7" t="s">
        <v>401</v>
      </c>
      <c r="K23" s="7" t="s">
        <v>638</v>
      </c>
      <c r="L23" s="7" t="s">
        <v>638</v>
      </c>
      <c r="M23" s="7">
        <v>25</v>
      </c>
      <c r="N23" s="7">
        <v>0</v>
      </c>
      <c r="O23" s="7">
        <v>25</v>
      </c>
      <c r="P23" s="7">
        <v>0</v>
      </c>
      <c r="Q23" s="7">
        <v>0</v>
      </c>
      <c r="R23" s="7">
        <v>0</v>
      </c>
      <c r="S23" s="7"/>
      <c r="T23" s="7">
        <f>SUM(M23:N23)</f>
        <v>25</v>
      </c>
      <c r="U23" s="7">
        <v>25</v>
      </c>
      <c r="V23" s="7" t="s">
        <v>649</v>
      </c>
      <c r="W23" s="7"/>
      <c r="X23" s="7"/>
      <c r="Y23" s="9">
        <v>46022</v>
      </c>
    </row>
    <row r="24" spans="1:25" ht="15.75" x14ac:dyDescent="0.25">
      <c r="A24" s="6" t="s">
        <v>33</v>
      </c>
      <c r="B24" s="6">
        <v>40315</v>
      </c>
      <c r="C24" s="8" t="s">
        <v>121</v>
      </c>
      <c r="D24" s="6" t="s">
        <v>123</v>
      </c>
      <c r="E24" s="7" t="s">
        <v>145</v>
      </c>
      <c r="F24" s="7" t="s">
        <v>243</v>
      </c>
      <c r="G24" s="7" t="s">
        <v>402</v>
      </c>
      <c r="H24" s="7">
        <v>72576</v>
      </c>
      <c r="I24" s="7" t="s">
        <v>403</v>
      </c>
      <c r="J24" s="7" t="s">
        <v>404</v>
      </c>
      <c r="K24" s="7" t="s">
        <v>638</v>
      </c>
      <c r="L24" s="7" t="s">
        <v>638</v>
      </c>
      <c r="M24" s="7">
        <v>25</v>
      </c>
      <c r="N24" s="7">
        <v>0</v>
      </c>
      <c r="O24" s="7">
        <v>25</v>
      </c>
      <c r="P24" s="7">
        <v>0</v>
      </c>
      <c r="Q24" s="7">
        <v>0</v>
      </c>
      <c r="R24" s="7">
        <v>0</v>
      </c>
      <c r="S24" s="7"/>
      <c r="T24" s="7">
        <f>SUM(M24:N24)</f>
        <v>25</v>
      </c>
      <c r="U24" s="7">
        <v>25</v>
      </c>
      <c r="V24" s="7" t="s">
        <v>649</v>
      </c>
      <c r="W24" s="7"/>
      <c r="X24" s="7"/>
      <c r="Y24" s="9">
        <v>46022</v>
      </c>
    </row>
    <row r="25" spans="1:25" ht="15.75" x14ac:dyDescent="0.25">
      <c r="A25" s="6" t="s">
        <v>34</v>
      </c>
      <c r="B25" s="6">
        <v>40316</v>
      </c>
      <c r="C25" s="8" t="s">
        <v>121</v>
      </c>
      <c r="D25" s="6" t="s">
        <v>123</v>
      </c>
      <c r="E25" s="7" t="s">
        <v>146</v>
      </c>
      <c r="F25" s="7" t="s">
        <v>244</v>
      </c>
      <c r="G25" s="7" t="s">
        <v>405</v>
      </c>
      <c r="H25" s="7">
        <v>72031</v>
      </c>
      <c r="I25" s="7" t="s">
        <v>406</v>
      </c>
      <c r="J25" s="7" t="s">
        <v>407</v>
      </c>
      <c r="K25" s="7" t="s">
        <v>638</v>
      </c>
      <c r="L25" s="7" t="s">
        <v>638</v>
      </c>
      <c r="M25" s="7">
        <v>25</v>
      </c>
      <c r="N25" s="7">
        <v>0</v>
      </c>
      <c r="O25" s="7">
        <v>25</v>
      </c>
      <c r="P25" s="7">
        <v>0</v>
      </c>
      <c r="Q25" s="7">
        <v>0</v>
      </c>
      <c r="R25" s="7">
        <v>0</v>
      </c>
      <c r="S25" s="7"/>
      <c r="T25" s="7">
        <f>SUM(M25:N25)</f>
        <v>25</v>
      </c>
      <c r="U25" s="7">
        <v>25</v>
      </c>
      <c r="V25" s="7" t="s">
        <v>649</v>
      </c>
      <c r="W25" s="6"/>
      <c r="X25" s="6"/>
      <c r="Y25" s="9">
        <v>46022</v>
      </c>
    </row>
    <row r="26" spans="1:25" ht="15.75" x14ac:dyDescent="0.25">
      <c r="A26" s="6" t="s">
        <v>35</v>
      </c>
      <c r="B26" s="6">
        <v>40317</v>
      </c>
      <c r="C26" s="8" t="s">
        <v>121</v>
      </c>
      <c r="D26" s="6" t="s">
        <v>126</v>
      </c>
      <c r="E26" s="6" t="s">
        <v>147</v>
      </c>
      <c r="F26" s="6" t="s">
        <v>245</v>
      </c>
      <c r="G26" s="6" t="s">
        <v>408</v>
      </c>
      <c r="H26" s="6">
        <v>71635</v>
      </c>
      <c r="I26" s="6" t="s">
        <v>409</v>
      </c>
      <c r="J26" s="6" t="s">
        <v>410</v>
      </c>
      <c r="K26" s="6" t="s">
        <v>638</v>
      </c>
      <c r="L26" s="6" t="s">
        <v>638</v>
      </c>
      <c r="M26" s="6" t="s">
        <v>652</v>
      </c>
      <c r="N26" s="6">
        <v>0</v>
      </c>
      <c r="O26" s="6">
        <v>25</v>
      </c>
      <c r="P26" s="6" t="s">
        <v>646</v>
      </c>
      <c r="Q26" s="6">
        <v>0</v>
      </c>
      <c r="R26" s="6">
        <v>0</v>
      </c>
      <c r="S26" s="6"/>
      <c r="T26" s="6" t="s">
        <v>652</v>
      </c>
      <c r="U26" s="6" t="s">
        <v>652</v>
      </c>
      <c r="V26" s="6" t="s">
        <v>649</v>
      </c>
      <c r="W26" s="6"/>
      <c r="X26" s="6"/>
      <c r="Y26" s="9">
        <v>46022</v>
      </c>
    </row>
    <row r="27" spans="1:25" ht="15.75" x14ac:dyDescent="0.25">
      <c r="A27" s="6" t="s">
        <v>36</v>
      </c>
      <c r="B27" s="6">
        <v>40318</v>
      </c>
      <c r="C27" s="8" t="s">
        <v>121</v>
      </c>
      <c r="D27" s="6" t="s">
        <v>127</v>
      </c>
      <c r="E27" s="7" t="s">
        <v>148</v>
      </c>
      <c r="F27" s="7" t="s">
        <v>246</v>
      </c>
      <c r="G27" s="7" t="s">
        <v>411</v>
      </c>
      <c r="H27" s="7">
        <v>72764</v>
      </c>
      <c r="I27" s="7" t="s">
        <v>412</v>
      </c>
      <c r="J27" s="7" t="s">
        <v>413</v>
      </c>
      <c r="K27" s="7" t="s">
        <v>639</v>
      </c>
      <c r="L27" s="7" t="s">
        <v>640</v>
      </c>
      <c r="M27" s="7">
        <v>25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/>
      <c r="T27" s="7">
        <f>SUM(M27:R27)</f>
        <v>25</v>
      </c>
      <c r="U27" s="7" t="s">
        <v>652</v>
      </c>
      <c r="V27" s="7" t="s">
        <v>649</v>
      </c>
      <c r="W27" s="7"/>
      <c r="X27" s="7"/>
      <c r="Y27" s="9">
        <v>46022</v>
      </c>
    </row>
    <row r="28" spans="1:25" ht="15.75" x14ac:dyDescent="0.25">
      <c r="A28" s="6" t="s">
        <v>37</v>
      </c>
      <c r="B28" s="6">
        <v>40319</v>
      </c>
      <c r="C28" s="8" t="s">
        <v>121</v>
      </c>
      <c r="D28" s="6" t="s">
        <v>128</v>
      </c>
      <c r="E28" s="7" t="s">
        <v>149</v>
      </c>
      <c r="F28" s="7" t="s">
        <v>247</v>
      </c>
      <c r="G28" s="7" t="s">
        <v>360</v>
      </c>
      <c r="H28" s="7">
        <v>72034</v>
      </c>
      <c r="I28" s="7" t="s">
        <v>362</v>
      </c>
      <c r="J28" s="7" t="s">
        <v>414</v>
      </c>
      <c r="K28" s="7" t="s">
        <v>638</v>
      </c>
      <c r="L28" s="7" t="s">
        <v>638</v>
      </c>
      <c r="M28" s="7">
        <v>26</v>
      </c>
      <c r="N28" s="7">
        <v>0</v>
      </c>
      <c r="O28" s="7">
        <v>0</v>
      </c>
      <c r="P28" s="7">
        <v>0</v>
      </c>
      <c r="Q28" s="7">
        <v>0</v>
      </c>
      <c r="R28" s="7">
        <v>0</v>
      </c>
      <c r="S28" s="7"/>
      <c r="T28" s="7">
        <f>SUM(M28:R28)</f>
        <v>26</v>
      </c>
      <c r="U28" s="7">
        <v>26</v>
      </c>
      <c r="V28" s="7" t="s">
        <v>649</v>
      </c>
      <c r="W28" s="7"/>
      <c r="X28" s="7"/>
      <c r="Y28" s="9">
        <v>46022</v>
      </c>
    </row>
    <row r="29" spans="1:25" ht="15.75" x14ac:dyDescent="0.25">
      <c r="A29" s="6" t="s">
        <v>38</v>
      </c>
      <c r="B29" s="6">
        <v>40320</v>
      </c>
      <c r="C29" s="8" t="s">
        <v>121</v>
      </c>
      <c r="D29" s="6" t="s">
        <v>125</v>
      </c>
      <c r="E29" s="7" t="s">
        <v>150</v>
      </c>
      <c r="F29" s="7" t="s">
        <v>248</v>
      </c>
      <c r="G29" s="7" t="s">
        <v>367</v>
      </c>
      <c r="H29" s="7">
        <v>72118</v>
      </c>
      <c r="I29" s="7" t="s">
        <v>368</v>
      </c>
      <c r="J29" s="7" t="s">
        <v>415</v>
      </c>
      <c r="K29" s="7" t="s">
        <v>641</v>
      </c>
      <c r="L29" s="7" t="s">
        <v>640</v>
      </c>
      <c r="M29" s="7" t="s">
        <v>662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7"/>
      <c r="T29" s="7" t="s">
        <v>662</v>
      </c>
      <c r="U29" s="7" t="s">
        <v>662</v>
      </c>
      <c r="V29" s="7" t="s">
        <v>649</v>
      </c>
      <c r="W29" s="7"/>
      <c r="X29" s="7"/>
      <c r="Y29" s="9">
        <v>46022</v>
      </c>
    </row>
    <row r="30" spans="1:25" ht="15.75" x14ac:dyDescent="0.25">
      <c r="A30" s="6" t="s">
        <v>765</v>
      </c>
      <c r="B30" s="6">
        <v>40321</v>
      </c>
      <c r="C30" s="8" t="s">
        <v>121</v>
      </c>
      <c r="D30" s="6" t="s">
        <v>123</v>
      </c>
      <c r="E30" s="7" t="s">
        <v>151</v>
      </c>
      <c r="F30" s="7" t="s">
        <v>249</v>
      </c>
      <c r="G30" s="7" t="s">
        <v>416</v>
      </c>
      <c r="H30" s="7">
        <v>71671</v>
      </c>
      <c r="I30" s="7" t="s">
        <v>417</v>
      </c>
      <c r="J30" s="7" t="s">
        <v>418</v>
      </c>
      <c r="K30" s="7" t="s">
        <v>638</v>
      </c>
      <c r="L30" s="7" t="s">
        <v>638</v>
      </c>
      <c r="M30" s="7" t="s">
        <v>663</v>
      </c>
      <c r="N30" s="7">
        <v>0</v>
      </c>
      <c r="O30" s="7">
        <v>0</v>
      </c>
      <c r="P30" s="7" t="s">
        <v>664</v>
      </c>
      <c r="Q30" s="7">
        <v>0</v>
      </c>
      <c r="R30" s="7">
        <v>0</v>
      </c>
      <c r="S30" s="7"/>
      <c r="T30" s="7" t="s">
        <v>663</v>
      </c>
      <c r="U30" s="7" t="s">
        <v>663</v>
      </c>
      <c r="V30" s="7" t="s">
        <v>649</v>
      </c>
      <c r="W30" s="7"/>
      <c r="X30" s="7"/>
      <c r="Y30" s="9">
        <v>46022</v>
      </c>
    </row>
    <row r="31" spans="1:25" ht="15.75" x14ac:dyDescent="0.25">
      <c r="A31" s="6" t="s">
        <v>39</v>
      </c>
      <c r="B31" s="6">
        <v>40322</v>
      </c>
      <c r="C31" s="8" t="s">
        <v>121</v>
      </c>
      <c r="D31" s="6" t="s">
        <v>123</v>
      </c>
      <c r="E31" s="7" t="s">
        <v>152</v>
      </c>
      <c r="F31" s="7" t="s">
        <v>250</v>
      </c>
      <c r="G31" s="7" t="s">
        <v>419</v>
      </c>
      <c r="H31" s="7">
        <v>72454</v>
      </c>
      <c r="I31" s="7" t="s">
        <v>420</v>
      </c>
      <c r="J31" s="7" t="s">
        <v>421</v>
      </c>
      <c r="K31" s="7" t="s">
        <v>638</v>
      </c>
      <c r="L31" s="7" t="s">
        <v>638</v>
      </c>
      <c r="M31" s="7">
        <v>25</v>
      </c>
      <c r="N31" s="7">
        <v>0</v>
      </c>
      <c r="O31" s="7">
        <v>25</v>
      </c>
      <c r="P31" s="7">
        <v>0</v>
      </c>
      <c r="Q31" s="7">
        <v>0</v>
      </c>
      <c r="R31" s="7">
        <v>0</v>
      </c>
      <c r="S31" s="7"/>
      <c r="T31" s="7">
        <f>SUM(M31:N31)</f>
        <v>25</v>
      </c>
      <c r="U31" s="7">
        <v>25</v>
      </c>
      <c r="V31" s="7" t="s">
        <v>649</v>
      </c>
      <c r="W31" s="7"/>
      <c r="X31" s="7"/>
      <c r="Y31" s="9">
        <v>46022</v>
      </c>
    </row>
    <row r="32" spans="1:25" ht="15.75" x14ac:dyDescent="0.25">
      <c r="A32" s="6" t="s">
        <v>40</v>
      </c>
      <c r="B32" s="6">
        <v>40323</v>
      </c>
      <c r="C32" s="8" t="s">
        <v>121</v>
      </c>
      <c r="D32" s="6" t="s">
        <v>122</v>
      </c>
      <c r="E32" s="7" t="s">
        <v>153</v>
      </c>
      <c r="F32" s="7" t="s">
        <v>251</v>
      </c>
      <c r="G32" s="7" t="s">
        <v>422</v>
      </c>
      <c r="H32" s="7">
        <v>71953</v>
      </c>
      <c r="I32" s="7" t="s">
        <v>423</v>
      </c>
      <c r="J32" s="7" t="s">
        <v>748</v>
      </c>
      <c r="K32" s="7" t="s">
        <v>638</v>
      </c>
      <c r="L32" s="7" t="s">
        <v>638</v>
      </c>
      <c r="M32" s="7">
        <v>65</v>
      </c>
      <c r="N32" s="7">
        <v>0</v>
      </c>
      <c r="O32" s="7" t="s">
        <v>646</v>
      </c>
      <c r="P32" s="7">
        <v>12</v>
      </c>
      <c r="Q32" s="7">
        <v>0</v>
      </c>
      <c r="R32" s="7">
        <v>12</v>
      </c>
      <c r="S32" s="7"/>
      <c r="T32" s="7">
        <f>SUM(M32:N32)</f>
        <v>65</v>
      </c>
      <c r="U32" s="7">
        <v>65</v>
      </c>
      <c r="V32" s="7" t="s">
        <v>649</v>
      </c>
      <c r="W32" s="7"/>
      <c r="X32" s="7"/>
      <c r="Y32" s="9">
        <v>46022</v>
      </c>
    </row>
    <row r="33" spans="1:25" ht="15.75" x14ac:dyDescent="0.25">
      <c r="A33" s="6" t="s">
        <v>41</v>
      </c>
      <c r="B33" s="6">
        <v>40324</v>
      </c>
      <c r="C33" s="8" t="s">
        <v>121</v>
      </c>
      <c r="D33" s="6" t="s">
        <v>122</v>
      </c>
      <c r="E33" s="7" t="s">
        <v>154</v>
      </c>
      <c r="F33" s="7" t="s">
        <v>252</v>
      </c>
      <c r="G33" s="7" t="s">
        <v>424</v>
      </c>
      <c r="H33" s="7" t="s">
        <v>425</v>
      </c>
      <c r="I33" s="7" t="s">
        <v>426</v>
      </c>
      <c r="J33" s="7" t="s">
        <v>427</v>
      </c>
      <c r="K33" s="7" t="s">
        <v>639</v>
      </c>
      <c r="L33" s="7" t="s">
        <v>640</v>
      </c>
      <c r="M33" s="7">
        <v>118</v>
      </c>
      <c r="N33" s="7">
        <v>0</v>
      </c>
      <c r="O33" s="7">
        <v>118</v>
      </c>
      <c r="P33" s="7">
        <v>18</v>
      </c>
      <c r="Q33" s="7">
        <v>0</v>
      </c>
      <c r="R33" s="7">
        <v>0</v>
      </c>
      <c r="S33" s="7"/>
      <c r="T33" s="7">
        <f>SUM(M33:N33)</f>
        <v>118</v>
      </c>
      <c r="U33" s="7">
        <v>118</v>
      </c>
      <c r="V33" s="7" t="s">
        <v>649</v>
      </c>
      <c r="W33" s="7"/>
      <c r="X33" s="7"/>
      <c r="Y33" s="9">
        <v>46022</v>
      </c>
    </row>
    <row r="34" spans="1:25" ht="15.75" x14ac:dyDescent="0.25">
      <c r="A34" s="6" t="s">
        <v>42</v>
      </c>
      <c r="B34" s="6">
        <v>40325</v>
      </c>
      <c r="C34" s="8" t="s">
        <v>121</v>
      </c>
      <c r="D34" s="6" t="s">
        <v>126</v>
      </c>
      <c r="E34" s="6" t="s">
        <v>155</v>
      </c>
      <c r="F34" s="6" t="s">
        <v>253</v>
      </c>
      <c r="G34" s="6" t="s">
        <v>428</v>
      </c>
      <c r="H34" s="6">
        <v>71639</v>
      </c>
      <c r="I34" s="6" t="s">
        <v>429</v>
      </c>
      <c r="J34" s="6" t="s">
        <v>430</v>
      </c>
      <c r="K34" s="6" t="s">
        <v>638</v>
      </c>
      <c r="L34" s="6" t="s">
        <v>638</v>
      </c>
      <c r="M34" s="6">
        <v>25</v>
      </c>
      <c r="N34" s="6">
        <v>0</v>
      </c>
      <c r="O34" s="6">
        <v>25</v>
      </c>
      <c r="P34" s="6">
        <v>0</v>
      </c>
      <c r="Q34" s="6">
        <v>0</v>
      </c>
      <c r="R34" s="6">
        <v>0</v>
      </c>
      <c r="S34" s="6"/>
      <c r="T34" s="6">
        <v>25</v>
      </c>
      <c r="U34" s="6">
        <v>25</v>
      </c>
      <c r="V34" s="6" t="s">
        <v>649</v>
      </c>
      <c r="W34" s="6"/>
      <c r="X34" s="6"/>
      <c r="Y34" s="9">
        <v>46022</v>
      </c>
    </row>
    <row r="35" spans="1:25" ht="15.75" x14ac:dyDescent="0.25">
      <c r="A35" s="6" t="s">
        <v>766</v>
      </c>
      <c r="B35" s="6">
        <v>40326</v>
      </c>
      <c r="C35" s="8" t="s">
        <v>121</v>
      </c>
      <c r="D35" s="6" t="s">
        <v>127</v>
      </c>
      <c r="E35" s="7" t="s">
        <v>749</v>
      </c>
      <c r="F35" s="7" t="s">
        <v>750</v>
      </c>
      <c r="G35" s="7" t="s">
        <v>431</v>
      </c>
      <c r="H35" s="7" t="s">
        <v>751</v>
      </c>
      <c r="I35" s="7" t="s">
        <v>432</v>
      </c>
      <c r="J35" s="7" t="s">
        <v>752</v>
      </c>
      <c r="K35" s="7" t="s">
        <v>639</v>
      </c>
      <c r="L35" s="7" t="s">
        <v>640</v>
      </c>
      <c r="M35" s="7">
        <v>34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/>
      <c r="T35" s="7">
        <f>SUM(M35:N35)</f>
        <v>34</v>
      </c>
      <c r="U35" s="7">
        <v>34</v>
      </c>
      <c r="V35" s="7" t="s">
        <v>649</v>
      </c>
      <c r="W35" s="7"/>
      <c r="X35" s="7"/>
      <c r="Y35" s="9">
        <v>46022</v>
      </c>
    </row>
    <row r="36" spans="1:25" ht="15.75" x14ac:dyDescent="0.25">
      <c r="A36" s="6" t="s">
        <v>43</v>
      </c>
      <c r="B36" s="6">
        <v>40327</v>
      </c>
      <c r="C36" s="8" t="s">
        <v>121</v>
      </c>
      <c r="D36" s="6" t="s">
        <v>123</v>
      </c>
      <c r="E36" s="7" t="s">
        <v>156</v>
      </c>
      <c r="F36" s="7" t="s">
        <v>254</v>
      </c>
      <c r="G36" s="7" t="s">
        <v>433</v>
      </c>
      <c r="H36" s="7">
        <v>72543</v>
      </c>
      <c r="I36" s="7" t="s">
        <v>434</v>
      </c>
      <c r="J36" s="7" t="s">
        <v>435</v>
      </c>
      <c r="K36" s="7" t="s">
        <v>638</v>
      </c>
      <c r="L36" s="7" t="s">
        <v>638</v>
      </c>
      <c r="M36" s="7">
        <v>25</v>
      </c>
      <c r="N36" s="7">
        <v>0</v>
      </c>
      <c r="O36" s="7">
        <v>25</v>
      </c>
      <c r="P36" s="7">
        <v>0</v>
      </c>
      <c r="Q36" s="7">
        <v>0</v>
      </c>
      <c r="R36" s="7">
        <v>0</v>
      </c>
      <c r="S36" s="7"/>
      <c r="T36" s="7">
        <f>SUM(M36:N36)</f>
        <v>25</v>
      </c>
      <c r="U36" s="7">
        <v>25</v>
      </c>
      <c r="V36" s="7" t="s">
        <v>649</v>
      </c>
      <c r="W36" s="7"/>
      <c r="X36" s="7"/>
      <c r="Y36" s="9">
        <v>46022</v>
      </c>
    </row>
    <row r="37" spans="1:25" ht="15.75" x14ac:dyDescent="0.25">
      <c r="A37" s="6" t="s">
        <v>44</v>
      </c>
      <c r="B37" s="6">
        <v>40328</v>
      </c>
      <c r="C37" s="8" t="s">
        <v>121</v>
      </c>
      <c r="D37" s="6" t="s">
        <v>125</v>
      </c>
      <c r="E37" s="7" t="s">
        <v>157</v>
      </c>
      <c r="F37" s="7" t="s">
        <v>246</v>
      </c>
      <c r="G37" s="7" t="s">
        <v>411</v>
      </c>
      <c r="H37" s="7" t="s">
        <v>436</v>
      </c>
      <c r="I37" s="7" t="s">
        <v>412</v>
      </c>
      <c r="J37" s="7" t="s">
        <v>437</v>
      </c>
      <c r="K37" s="7" t="s">
        <v>639</v>
      </c>
      <c r="L37" s="7" t="s">
        <v>640</v>
      </c>
      <c r="M37" s="7">
        <v>222</v>
      </c>
      <c r="N37" s="7">
        <v>0</v>
      </c>
      <c r="O37" s="7" t="s">
        <v>646</v>
      </c>
      <c r="P37" s="7" t="s">
        <v>665</v>
      </c>
      <c r="Q37" s="7">
        <v>0</v>
      </c>
      <c r="R37" s="7">
        <v>31</v>
      </c>
      <c r="S37" s="7"/>
      <c r="T37" s="7">
        <f>SUM(M37:N37)</f>
        <v>222</v>
      </c>
      <c r="U37" s="7">
        <v>414</v>
      </c>
      <c r="V37" s="7" t="s">
        <v>649</v>
      </c>
      <c r="W37" s="7" t="s">
        <v>708</v>
      </c>
      <c r="X37" s="7"/>
      <c r="Y37" s="9">
        <v>46022</v>
      </c>
    </row>
    <row r="38" spans="1:25" ht="15.75" x14ac:dyDescent="0.25">
      <c r="A38" s="6" t="s">
        <v>45</v>
      </c>
      <c r="B38" s="6">
        <v>40329</v>
      </c>
      <c r="C38" s="8" t="s">
        <v>121</v>
      </c>
      <c r="D38" s="6" t="s">
        <v>122</v>
      </c>
      <c r="E38" s="7" t="s">
        <v>158</v>
      </c>
      <c r="F38" s="7" t="s">
        <v>255</v>
      </c>
      <c r="G38" s="7" t="s">
        <v>351</v>
      </c>
      <c r="H38" s="7">
        <v>72741</v>
      </c>
      <c r="I38" s="7" t="s">
        <v>412</v>
      </c>
      <c r="J38" s="7" t="s">
        <v>438</v>
      </c>
      <c r="K38" s="7" t="s">
        <v>639</v>
      </c>
      <c r="L38" s="7" t="s">
        <v>640</v>
      </c>
      <c r="M38" s="7">
        <v>64</v>
      </c>
      <c r="N38" s="7">
        <v>0</v>
      </c>
      <c r="O38" s="7">
        <v>0</v>
      </c>
      <c r="P38" s="7">
        <v>0</v>
      </c>
      <c r="Q38" s="7">
        <v>0</v>
      </c>
      <c r="R38" s="7">
        <v>0</v>
      </c>
      <c r="S38" s="7"/>
      <c r="T38" s="7">
        <f>SUM(M38:N38)</f>
        <v>64</v>
      </c>
      <c r="U38" s="7">
        <v>0</v>
      </c>
      <c r="V38" s="7" t="s">
        <v>649</v>
      </c>
      <c r="W38" s="7"/>
      <c r="X38" s="7"/>
      <c r="Y38" s="9">
        <v>46022</v>
      </c>
    </row>
    <row r="39" spans="1:25" ht="15.75" x14ac:dyDescent="0.25">
      <c r="A39" s="6" t="s">
        <v>46</v>
      </c>
      <c r="B39" s="6">
        <v>40330</v>
      </c>
      <c r="C39" s="8" t="s">
        <v>121</v>
      </c>
      <c r="D39" s="6" t="s">
        <v>127</v>
      </c>
      <c r="E39" s="7" t="s">
        <v>159</v>
      </c>
      <c r="F39" s="7" t="s">
        <v>256</v>
      </c>
      <c r="G39" s="7" t="s">
        <v>439</v>
      </c>
      <c r="H39" s="7">
        <v>72143</v>
      </c>
      <c r="I39" s="7" t="s">
        <v>440</v>
      </c>
      <c r="J39" s="7" t="s">
        <v>441</v>
      </c>
      <c r="K39" s="7" t="s">
        <v>638</v>
      </c>
      <c r="L39" s="7" t="s">
        <v>638</v>
      </c>
      <c r="M39" s="7" t="s">
        <v>651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/>
      <c r="T39" s="7" t="s">
        <v>651</v>
      </c>
      <c r="U39" s="7" t="s">
        <v>651</v>
      </c>
      <c r="V39" s="7" t="s">
        <v>649</v>
      </c>
      <c r="W39" s="7"/>
      <c r="X39" s="7"/>
      <c r="Y39" s="9">
        <v>46022</v>
      </c>
    </row>
    <row r="40" spans="1:25" ht="15.75" x14ac:dyDescent="0.25">
      <c r="A40" s="6" t="s">
        <v>47</v>
      </c>
      <c r="B40" s="6">
        <v>40331</v>
      </c>
      <c r="C40" s="8" t="s">
        <v>121</v>
      </c>
      <c r="D40" s="6" t="s">
        <v>122</v>
      </c>
      <c r="E40" s="7" t="s">
        <v>160</v>
      </c>
      <c r="F40" s="7" t="s">
        <v>257</v>
      </c>
      <c r="G40" s="7" t="s">
        <v>442</v>
      </c>
      <c r="H40" s="7">
        <v>72712</v>
      </c>
      <c r="I40" s="7" t="s">
        <v>443</v>
      </c>
      <c r="J40" s="7" t="s">
        <v>444</v>
      </c>
      <c r="K40" s="7" t="s">
        <v>639</v>
      </c>
      <c r="L40" s="7" t="s">
        <v>640</v>
      </c>
      <c r="M40" s="7">
        <v>128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/>
      <c r="T40" s="7">
        <f>SUM(M40:N40)</f>
        <v>128</v>
      </c>
      <c r="U40" s="7">
        <v>0</v>
      </c>
      <c r="V40" s="7" t="s">
        <v>649</v>
      </c>
      <c r="W40" s="7"/>
      <c r="X40" s="7"/>
      <c r="Y40" s="9">
        <v>46022</v>
      </c>
    </row>
    <row r="41" spans="1:25" ht="15.75" x14ac:dyDescent="0.25">
      <c r="A41" s="6" t="s">
        <v>48</v>
      </c>
      <c r="B41" s="6">
        <v>40332</v>
      </c>
      <c r="C41" s="8" t="s">
        <v>121</v>
      </c>
      <c r="D41" s="6" t="s">
        <v>122</v>
      </c>
      <c r="E41" s="7" t="s">
        <v>161</v>
      </c>
      <c r="F41" s="7" t="s">
        <v>258</v>
      </c>
      <c r="G41" s="7" t="s">
        <v>445</v>
      </c>
      <c r="H41" s="7">
        <v>72601</v>
      </c>
      <c r="I41" s="7" t="s">
        <v>446</v>
      </c>
      <c r="J41" s="7" t="s">
        <v>447</v>
      </c>
      <c r="K41" s="7" t="s">
        <v>638</v>
      </c>
      <c r="L41" s="7" t="s">
        <v>638</v>
      </c>
      <c r="M41" s="7" t="s">
        <v>666</v>
      </c>
      <c r="N41" s="7" t="s">
        <v>646</v>
      </c>
      <c r="O41" s="7">
        <v>0</v>
      </c>
      <c r="P41" s="7" t="s">
        <v>667</v>
      </c>
      <c r="Q41" s="7">
        <v>0</v>
      </c>
      <c r="R41" s="7">
        <v>0</v>
      </c>
      <c r="S41" s="7"/>
      <c r="T41" s="7" t="s">
        <v>666</v>
      </c>
      <c r="U41" s="7">
        <v>174</v>
      </c>
      <c r="V41" s="7" t="s">
        <v>649</v>
      </c>
      <c r="W41" s="7"/>
      <c r="X41" s="7"/>
      <c r="Y41" s="9">
        <v>46022</v>
      </c>
    </row>
    <row r="42" spans="1:25" ht="15.75" x14ac:dyDescent="0.25">
      <c r="A42" s="6" t="s">
        <v>49</v>
      </c>
      <c r="B42" s="6">
        <v>40333</v>
      </c>
      <c r="C42" s="8" t="s">
        <v>121</v>
      </c>
      <c r="D42" s="6" t="s">
        <v>124</v>
      </c>
      <c r="E42" s="7" t="s">
        <v>162</v>
      </c>
      <c r="F42" s="7" t="s">
        <v>259</v>
      </c>
      <c r="G42" s="7" t="s">
        <v>385</v>
      </c>
      <c r="H42" s="7">
        <v>72205</v>
      </c>
      <c r="I42" s="7" t="s">
        <v>368</v>
      </c>
      <c r="J42" s="7" t="s">
        <v>448</v>
      </c>
      <c r="K42" s="7" t="s">
        <v>639</v>
      </c>
      <c r="L42" s="7" t="s">
        <v>640</v>
      </c>
      <c r="M42" s="7" t="s">
        <v>668</v>
      </c>
      <c r="N42" s="7">
        <v>0</v>
      </c>
      <c r="O42" s="7">
        <v>0</v>
      </c>
      <c r="P42" s="7">
        <v>0</v>
      </c>
      <c r="Q42" s="7">
        <v>0</v>
      </c>
      <c r="R42" s="7">
        <v>0</v>
      </c>
      <c r="S42" s="7"/>
      <c r="T42" s="7" t="s">
        <v>668</v>
      </c>
      <c r="U42" s="7" t="s">
        <v>668</v>
      </c>
      <c r="V42" s="7" t="s">
        <v>649</v>
      </c>
      <c r="W42" s="7"/>
      <c r="X42" s="7"/>
      <c r="Y42" s="9">
        <v>46022</v>
      </c>
    </row>
    <row r="43" spans="1:25" ht="15.75" x14ac:dyDescent="0.25">
      <c r="A43" s="6" t="s">
        <v>50</v>
      </c>
      <c r="B43" s="6">
        <v>40334</v>
      </c>
      <c r="C43" s="8" t="s">
        <v>121</v>
      </c>
      <c r="D43" s="6" t="s">
        <v>123</v>
      </c>
      <c r="E43" s="6" t="s">
        <v>163</v>
      </c>
      <c r="F43" s="6" t="s">
        <v>260</v>
      </c>
      <c r="G43" s="6" t="s">
        <v>449</v>
      </c>
      <c r="H43" s="6" t="s">
        <v>450</v>
      </c>
      <c r="I43" s="6" t="s">
        <v>443</v>
      </c>
      <c r="J43" s="6" t="s">
        <v>451</v>
      </c>
      <c r="K43" s="6" t="s">
        <v>638</v>
      </c>
      <c r="L43" s="6" t="s">
        <v>638</v>
      </c>
      <c r="M43" s="6">
        <v>25</v>
      </c>
      <c r="N43" s="6">
        <v>0</v>
      </c>
      <c r="O43" s="6">
        <v>25</v>
      </c>
      <c r="P43" s="6" t="s">
        <v>646</v>
      </c>
      <c r="Q43" s="6">
        <v>0</v>
      </c>
      <c r="R43" s="6">
        <v>0</v>
      </c>
      <c r="S43" s="6"/>
      <c r="T43" s="6">
        <f>SUM(M43:N43)</f>
        <v>25</v>
      </c>
      <c r="U43" s="6">
        <v>25</v>
      </c>
      <c r="V43" s="6" t="s">
        <v>649</v>
      </c>
      <c r="W43" s="6"/>
      <c r="X43" s="6"/>
      <c r="Y43" s="9">
        <v>46022</v>
      </c>
    </row>
    <row r="44" spans="1:25" ht="15.75" x14ac:dyDescent="0.25">
      <c r="A44" s="6" t="s">
        <v>51</v>
      </c>
      <c r="B44" s="6">
        <v>40335</v>
      </c>
      <c r="C44" s="8" t="s">
        <v>121</v>
      </c>
      <c r="D44" s="6" t="s">
        <v>122</v>
      </c>
      <c r="E44" s="7" t="s">
        <v>164</v>
      </c>
      <c r="F44" s="7" t="s">
        <v>261</v>
      </c>
      <c r="G44" s="7" t="s">
        <v>452</v>
      </c>
      <c r="H44" s="7" t="s">
        <v>453</v>
      </c>
      <c r="I44" s="7" t="s">
        <v>381</v>
      </c>
      <c r="J44" s="7" t="s">
        <v>454</v>
      </c>
      <c r="K44" s="7" t="s">
        <v>638</v>
      </c>
      <c r="L44" s="7" t="s">
        <v>638</v>
      </c>
      <c r="M44" s="7">
        <v>49</v>
      </c>
      <c r="N44" s="7">
        <v>0</v>
      </c>
      <c r="O44" s="7">
        <v>49</v>
      </c>
      <c r="P44" s="7" t="s">
        <v>646</v>
      </c>
      <c r="Q44" s="7">
        <v>0</v>
      </c>
      <c r="R44" s="7">
        <v>0</v>
      </c>
      <c r="S44" s="7"/>
      <c r="T44" s="7">
        <f>SUM(M44:N44)</f>
        <v>49</v>
      </c>
      <c r="U44" s="7">
        <v>49</v>
      </c>
      <c r="V44" s="7" t="s">
        <v>649</v>
      </c>
      <c r="W44" s="7"/>
      <c r="X44" s="7"/>
      <c r="Y44" s="9">
        <v>46022</v>
      </c>
    </row>
    <row r="45" spans="1:25" ht="15.75" x14ac:dyDescent="0.25">
      <c r="A45" s="6" t="s">
        <v>52</v>
      </c>
      <c r="B45" s="6">
        <v>40336</v>
      </c>
      <c r="C45" s="8" t="s">
        <v>121</v>
      </c>
      <c r="D45" s="6" t="s">
        <v>124</v>
      </c>
      <c r="E45" s="7" t="s">
        <v>165</v>
      </c>
      <c r="F45" s="7" t="s">
        <v>262</v>
      </c>
      <c r="G45" s="7" t="s">
        <v>385</v>
      </c>
      <c r="H45" s="7" t="s">
        <v>455</v>
      </c>
      <c r="I45" s="7" t="s">
        <v>368</v>
      </c>
      <c r="J45" s="7" t="s">
        <v>456</v>
      </c>
      <c r="K45" s="7" t="s">
        <v>639</v>
      </c>
      <c r="L45" s="7" t="s">
        <v>640</v>
      </c>
      <c r="M45" s="7" t="s">
        <v>669</v>
      </c>
      <c r="N45" s="7">
        <v>0</v>
      </c>
      <c r="O45" s="7">
        <v>0</v>
      </c>
      <c r="P45" s="7" t="s">
        <v>646</v>
      </c>
      <c r="Q45" s="7">
        <v>0</v>
      </c>
      <c r="R45" s="7">
        <v>0</v>
      </c>
      <c r="S45" s="7"/>
      <c r="T45" s="7" t="s">
        <v>669</v>
      </c>
      <c r="U45" s="7" t="s">
        <v>646</v>
      </c>
      <c r="V45" s="7" t="s">
        <v>649</v>
      </c>
      <c r="W45" s="7"/>
      <c r="X45" s="7"/>
      <c r="Y45" s="9">
        <v>46022</v>
      </c>
    </row>
    <row r="46" spans="1:25" ht="15.75" x14ac:dyDescent="0.25">
      <c r="A46" s="6" t="s">
        <v>53</v>
      </c>
      <c r="B46" s="6">
        <v>40337</v>
      </c>
      <c r="C46" s="8" t="s">
        <v>121</v>
      </c>
      <c r="D46" s="6" t="s">
        <v>122</v>
      </c>
      <c r="E46" s="7" t="s">
        <v>166</v>
      </c>
      <c r="F46" s="7" t="s">
        <v>263</v>
      </c>
      <c r="G46" s="7" t="s">
        <v>457</v>
      </c>
      <c r="H46" s="7" t="s">
        <v>458</v>
      </c>
      <c r="I46" s="7" t="s">
        <v>459</v>
      </c>
      <c r="J46" s="7" t="s">
        <v>460</v>
      </c>
      <c r="K46" s="7" t="s">
        <v>639</v>
      </c>
      <c r="L46" s="7" t="s">
        <v>640</v>
      </c>
      <c r="M46" s="7" t="s">
        <v>670</v>
      </c>
      <c r="N46" s="7">
        <v>0</v>
      </c>
      <c r="O46" s="7">
        <v>0</v>
      </c>
      <c r="P46" s="7" t="s">
        <v>646</v>
      </c>
      <c r="Q46" s="7">
        <v>0</v>
      </c>
      <c r="R46" s="7">
        <v>0</v>
      </c>
      <c r="S46" s="7"/>
      <c r="T46" s="7" t="s">
        <v>670</v>
      </c>
      <c r="U46" s="7" t="s">
        <v>670</v>
      </c>
      <c r="V46" s="7" t="s">
        <v>649</v>
      </c>
      <c r="W46" s="7"/>
      <c r="X46" s="7"/>
      <c r="Y46" s="9">
        <v>46022</v>
      </c>
    </row>
    <row r="47" spans="1:25" ht="15.75" x14ac:dyDescent="0.25">
      <c r="A47" s="6" t="s">
        <v>767</v>
      </c>
      <c r="B47" s="6">
        <v>40338</v>
      </c>
      <c r="C47" s="8" t="s">
        <v>121</v>
      </c>
      <c r="D47" s="6" t="s">
        <v>763</v>
      </c>
      <c r="E47" s="7" t="s">
        <v>167</v>
      </c>
      <c r="F47" s="7" t="s">
        <v>264</v>
      </c>
      <c r="G47" s="7" t="s">
        <v>461</v>
      </c>
      <c r="H47" s="7">
        <v>72370</v>
      </c>
      <c r="I47" s="7" t="s">
        <v>459</v>
      </c>
      <c r="J47" s="7" t="s">
        <v>462</v>
      </c>
      <c r="K47" s="7" t="s">
        <v>638</v>
      </c>
      <c r="L47" s="7" t="s">
        <v>638</v>
      </c>
      <c r="M47" s="7">
        <v>25</v>
      </c>
      <c r="N47" s="7">
        <v>0</v>
      </c>
      <c r="O47" s="7" t="s">
        <v>646</v>
      </c>
      <c r="P47" s="7">
        <v>0</v>
      </c>
      <c r="Q47" s="7">
        <v>0</v>
      </c>
      <c r="R47" s="7">
        <v>0</v>
      </c>
      <c r="S47" s="7"/>
      <c r="T47" s="7">
        <f>SUM(M47:N47)</f>
        <v>25</v>
      </c>
      <c r="U47" s="7">
        <v>25</v>
      </c>
      <c r="V47" s="7" t="s">
        <v>649</v>
      </c>
      <c r="W47" s="7"/>
      <c r="X47" s="7"/>
      <c r="Y47" s="9">
        <v>46022</v>
      </c>
    </row>
    <row r="48" spans="1:25" ht="15.75" x14ac:dyDescent="0.25">
      <c r="A48" s="6" t="s">
        <v>54</v>
      </c>
      <c r="B48" s="6">
        <v>40339</v>
      </c>
      <c r="C48" s="8" t="s">
        <v>121</v>
      </c>
      <c r="D48" s="6" t="s">
        <v>123</v>
      </c>
      <c r="E48" s="7" t="s">
        <v>168</v>
      </c>
      <c r="F48" s="7" t="s">
        <v>265</v>
      </c>
      <c r="G48" s="7" t="s">
        <v>463</v>
      </c>
      <c r="H48" s="7">
        <v>71852</v>
      </c>
      <c r="I48" s="7" t="s">
        <v>464</v>
      </c>
      <c r="J48" s="7" t="s">
        <v>465</v>
      </c>
      <c r="K48" s="7" t="s">
        <v>638</v>
      </c>
      <c r="L48" s="7" t="s">
        <v>638</v>
      </c>
      <c r="M48" s="7">
        <v>20</v>
      </c>
      <c r="N48" s="7">
        <v>0</v>
      </c>
      <c r="O48" s="7">
        <v>20</v>
      </c>
      <c r="P48" s="7">
        <v>0</v>
      </c>
      <c r="Q48" s="7">
        <v>0</v>
      </c>
      <c r="R48" s="7">
        <v>0</v>
      </c>
      <c r="S48" s="7"/>
      <c r="T48" s="7">
        <f>SUM(M48:N48)</f>
        <v>20</v>
      </c>
      <c r="U48" s="7">
        <v>20</v>
      </c>
      <c r="V48" s="7" t="s">
        <v>649</v>
      </c>
      <c r="W48" s="7"/>
      <c r="X48" s="7"/>
      <c r="Y48" s="9">
        <v>46022</v>
      </c>
    </row>
    <row r="49" spans="1:25" ht="15.75" x14ac:dyDescent="0.25">
      <c r="A49" s="6" t="s">
        <v>55</v>
      </c>
      <c r="B49" s="6">
        <v>40340</v>
      </c>
      <c r="C49" s="8" t="s">
        <v>121</v>
      </c>
      <c r="D49" s="6" t="s">
        <v>124</v>
      </c>
      <c r="E49" s="7" t="s">
        <v>169</v>
      </c>
      <c r="F49" s="7" t="s">
        <v>266</v>
      </c>
      <c r="G49" s="7" t="s">
        <v>466</v>
      </c>
      <c r="H49" s="7" t="s">
        <v>467</v>
      </c>
      <c r="I49" s="7" t="s">
        <v>412</v>
      </c>
      <c r="J49" s="7" t="s">
        <v>468</v>
      </c>
      <c r="K49" s="7" t="s">
        <v>639</v>
      </c>
      <c r="L49" s="7" t="s">
        <v>640</v>
      </c>
      <c r="M49" s="7">
        <v>80</v>
      </c>
      <c r="N49" s="7">
        <v>0</v>
      </c>
      <c r="O49" s="7">
        <v>0</v>
      </c>
      <c r="P49" s="7">
        <v>0</v>
      </c>
      <c r="Q49" s="7">
        <v>0</v>
      </c>
      <c r="R49" s="7">
        <v>0</v>
      </c>
      <c r="S49" s="7"/>
      <c r="T49" s="7">
        <v>80</v>
      </c>
      <c r="U49" s="7">
        <v>80</v>
      </c>
      <c r="V49" s="7" t="s">
        <v>649</v>
      </c>
      <c r="W49" s="7"/>
      <c r="X49" s="7"/>
      <c r="Y49" s="9">
        <v>46022</v>
      </c>
    </row>
    <row r="50" spans="1:25" ht="15.75" x14ac:dyDescent="0.25">
      <c r="A50" s="6" t="s">
        <v>56</v>
      </c>
      <c r="B50" s="6">
        <v>40341</v>
      </c>
      <c r="C50" s="8" t="s">
        <v>121</v>
      </c>
      <c r="D50" s="6" t="s">
        <v>125</v>
      </c>
      <c r="E50" s="7" t="s">
        <v>170</v>
      </c>
      <c r="F50" s="7" t="s">
        <v>267</v>
      </c>
      <c r="G50" s="7" t="s">
        <v>385</v>
      </c>
      <c r="H50" s="7">
        <v>72202</v>
      </c>
      <c r="I50" s="7" t="s">
        <v>368</v>
      </c>
      <c r="J50" s="7" t="s">
        <v>469</v>
      </c>
      <c r="K50" s="7" t="s">
        <v>639</v>
      </c>
      <c r="L50" s="7" t="s">
        <v>640</v>
      </c>
      <c r="M50" s="7" t="s">
        <v>671</v>
      </c>
      <c r="N50" s="7">
        <v>0</v>
      </c>
      <c r="O50" s="7">
        <v>0</v>
      </c>
      <c r="P50" s="7">
        <v>0</v>
      </c>
      <c r="Q50" s="7">
        <v>0</v>
      </c>
      <c r="R50" s="7" t="s">
        <v>646</v>
      </c>
      <c r="S50" s="7"/>
      <c r="T50" s="7" t="s">
        <v>671</v>
      </c>
      <c r="U50" s="7" t="s">
        <v>671</v>
      </c>
      <c r="V50" s="7" t="s">
        <v>649</v>
      </c>
      <c r="W50" s="7"/>
      <c r="X50" s="7"/>
      <c r="Y50" s="9">
        <v>46022</v>
      </c>
    </row>
    <row r="51" spans="1:25" ht="15.75" x14ac:dyDescent="0.25">
      <c r="A51" s="6" t="s">
        <v>57</v>
      </c>
      <c r="B51" s="6">
        <v>40342</v>
      </c>
      <c r="C51" s="8" t="s">
        <v>121</v>
      </c>
      <c r="D51" s="6" t="s">
        <v>124</v>
      </c>
      <c r="E51" s="7" t="s">
        <v>171</v>
      </c>
      <c r="F51" s="7" t="s">
        <v>268</v>
      </c>
      <c r="G51" s="7" t="s">
        <v>470</v>
      </c>
      <c r="H51" s="7" t="s">
        <v>471</v>
      </c>
      <c r="I51" s="7" t="s">
        <v>472</v>
      </c>
      <c r="J51" s="7" t="s">
        <v>473</v>
      </c>
      <c r="K51" s="7" t="s">
        <v>639</v>
      </c>
      <c r="L51" s="7" t="s">
        <v>640</v>
      </c>
      <c r="M51" s="7" t="s">
        <v>725</v>
      </c>
      <c r="N51" s="7">
        <v>0</v>
      </c>
      <c r="O51" s="7">
        <v>0</v>
      </c>
      <c r="P51" s="7" t="s">
        <v>726</v>
      </c>
      <c r="Q51" s="7">
        <v>0</v>
      </c>
      <c r="R51" s="7">
        <v>0</v>
      </c>
      <c r="S51" s="7"/>
      <c r="T51" s="7" t="s">
        <v>725</v>
      </c>
      <c r="U51" s="7" t="s">
        <v>646</v>
      </c>
      <c r="V51" s="7" t="s">
        <v>649</v>
      </c>
      <c r="W51" s="7"/>
      <c r="X51" s="7"/>
      <c r="Y51" s="9">
        <v>46022</v>
      </c>
    </row>
    <row r="52" spans="1:25" ht="15.75" x14ac:dyDescent="0.25">
      <c r="A52" s="6" t="s">
        <v>58</v>
      </c>
      <c r="B52" s="6">
        <v>40343</v>
      </c>
      <c r="C52" s="8" t="s">
        <v>121</v>
      </c>
      <c r="D52" s="6" t="s">
        <v>123</v>
      </c>
      <c r="E52" s="7" t="s">
        <v>172</v>
      </c>
      <c r="F52" s="7" t="s">
        <v>269</v>
      </c>
      <c r="G52" s="7" t="s">
        <v>474</v>
      </c>
      <c r="H52" s="7" t="s">
        <v>475</v>
      </c>
      <c r="I52" s="7" t="s">
        <v>429</v>
      </c>
      <c r="J52" s="7" t="s">
        <v>476</v>
      </c>
      <c r="K52" s="7" t="s">
        <v>638</v>
      </c>
      <c r="L52" s="7" t="s">
        <v>638</v>
      </c>
      <c r="M52" s="7">
        <v>25</v>
      </c>
      <c r="N52" s="7">
        <v>0</v>
      </c>
      <c r="O52" s="7">
        <v>25</v>
      </c>
      <c r="P52" s="7" t="s">
        <v>646</v>
      </c>
      <c r="Q52" s="7">
        <v>0</v>
      </c>
      <c r="R52" s="7">
        <v>0</v>
      </c>
      <c r="S52" s="7"/>
      <c r="T52" s="7">
        <f>SUM(M52:N52)</f>
        <v>25</v>
      </c>
      <c r="U52" s="7">
        <v>25</v>
      </c>
      <c r="V52" s="7" t="s">
        <v>649</v>
      </c>
      <c r="W52" s="7"/>
      <c r="X52" s="7"/>
      <c r="Y52" s="9">
        <v>46022</v>
      </c>
    </row>
    <row r="53" spans="1:25" ht="15.75" x14ac:dyDescent="0.25">
      <c r="A53" s="6" t="s">
        <v>59</v>
      </c>
      <c r="B53" s="6">
        <v>40344</v>
      </c>
      <c r="C53" s="8" t="s">
        <v>121</v>
      </c>
      <c r="D53" s="6" t="s">
        <v>125</v>
      </c>
      <c r="E53" s="7" t="s">
        <v>173</v>
      </c>
      <c r="F53" s="7" t="s">
        <v>270</v>
      </c>
      <c r="G53" s="7" t="s">
        <v>477</v>
      </c>
      <c r="H53" s="7" t="s">
        <v>478</v>
      </c>
      <c r="I53" s="7" t="s">
        <v>479</v>
      </c>
      <c r="J53" s="7" t="s">
        <v>480</v>
      </c>
      <c r="K53" s="10" t="s">
        <v>642</v>
      </c>
      <c r="L53" s="10" t="s">
        <v>643</v>
      </c>
      <c r="M53" s="7">
        <v>28</v>
      </c>
      <c r="N53" s="7">
        <v>0</v>
      </c>
      <c r="O53" s="7">
        <v>0</v>
      </c>
      <c r="P53" s="7">
        <v>0</v>
      </c>
      <c r="Q53" s="7">
        <v>0</v>
      </c>
      <c r="R53" s="7">
        <v>0</v>
      </c>
      <c r="S53" s="7"/>
      <c r="T53" s="7">
        <f>SUM(M53:N53)</f>
        <v>28</v>
      </c>
      <c r="U53" s="7" t="s">
        <v>672</v>
      </c>
      <c r="V53" s="7" t="s">
        <v>649</v>
      </c>
      <c r="W53" s="7"/>
      <c r="X53" s="7"/>
      <c r="Y53" s="9">
        <v>46022</v>
      </c>
    </row>
    <row r="54" spans="1:25" ht="15.75" x14ac:dyDescent="0.25">
      <c r="A54" s="6" t="s">
        <v>60</v>
      </c>
      <c r="B54" s="6">
        <v>40345</v>
      </c>
      <c r="C54" s="8" t="s">
        <v>121</v>
      </c>
      <c r="D54" s="6" t="s">
        <v>123</v>
      </c>
      <c r="E54" s="6" t="s">
        <v>174</v>
      </c>
      <c r="F54" s="6" t="s">
        <v>271</v>
      </c>
      <c r="G54" s="6" t="s">
        <v>481</v>
      </c>
      <c r="H54" s="6" t="s">
        <v>482</v>
      </c>
      <c r="I54" s="6" t="s">
        <v>483</v>
      </c>
      <c r="J54" s="6" t="s">
        <v>484</v>
      </c>
      <c r="K54" s="6" t="s">
        <v>639</v>
      </c>
      <c r="L54" s="6" t="s">
        <v>640</v>
      </c>
      <c r="M54" s="6">
        <v>25</v>
      </c>
      <c r="N54" s="6">
        <v>0</v>
      </c>
      <c r="O54" s="6">
        <v>25</v>
      </c>
      <c r="P54" s="6">
        <v>0</v>
      </c>
      <c r="Q54" s="6">
        <v>0</v>
      </c>
      <c r="R54" s="6">
        <v>0</v>
      </c>
      <c r="S54" s="6"/>
      <c r="T54" s="6">
        <v>25</v>
      </c>
      <c r="U54" s="6">
        <v>25</v>
      </c>
      <c r="V54" s="6" t="s">
        <v>649</v>
      </c>
      <c r="W54" s="6"/>
      <c r="X54" s="6"/>
      <c r="Y54" s="9">
        <v>46022</v>
      </c>
    </row>
    <row r="55" spans="1:25" ht="15.75" x14ac:dyDescent="0.25">
      <c r="A55" s="6" t="s">
        <v>61</v>
      </c>
      <c r="B55" s="6">
        <v>40346</v>
      </c>
      <c r="C55" s="8" t="s">
        <v>121</v>
      </c>
      <c r="D55" s="6" t="s">
        <v>122</v>
      </c>
      <c r="E55" s="7" t="s">
        <v>175</v>
      </c>
      <c r="F55" s="7" t="s">
        <v>272</v>
      </c>
      <c r="G55" s="7" t="s">
        <v>485</v>
      </c>
      <c r="H55" s="7">
        <v>72761</v>
      </c>
      <c r="I55" s="7" t="s">
        <v>443</v>
      </c>
      <c r="J55" s="7" t="s">
        <v>486</v>
      </c>
      <c r="K55" s="7" t="s">
        <v>639</v>
      </c>
      <c r="L55" s="7" t="s">
        <v>640</v>
      </c>
      <c r="M55" s="7">
        <v>73</v>
      </c>
      <c r="N55" s="7">
        <v>0</v>
      </c>
      <c r="O55" s="7" t="s">
        <v>673</v>
      </c>
      <c r="P55" s="7">
        <v>0</v>
      </c>
      <c r="Q55" s="7">
        <v>0</v>
      </c>
      <c r="R55" s="7">
        <v>0</v>
      </c>
      <c r="S55" s="7"/>
      <c r="T55" s="7">
        <f>SUM(M55:N55)</f>
        <v>73</v>
      </c>
      <c r="U55" s="7">
        <v>73</v>
      </c>
      <c r="V55" s="7" t="s">
        <v>649</v>
      </c>
      <c r="W55" s="7" t="s">
        <v>709</v>
      </c>
      <c r="X55" s="7"/>
      <c r="Y55" s="9">
        <v>46022</v>
      </c>
    </row>
    <row r="56" spans="1:25" ht="15.75" x14ac:dyDescent="0.25">
      <c r="A56" s="6" t="s">
        <v>768</v>
      </c>
      <c r="B56" s="6">
        <v>40347</v>
      </c>
      <c r="C56" s="8" t="s">
        <v>121</v>
      </c>
      <c r="D56" s="6" t="s">
        <v>125</v>
      </c>
      <c r="E56" s="7"/>
      <c r="F56" s="7" t="s">
        <v>273</v>
      </c>
      <c r="G56" s="7" t="s">
        <v>487</v>
      </c>
      <c r="H56" s="7" t="s">
        <v>488</v>
      </c>
      <c r="I56" s="7" t="s">
        <v>489</v>
      </c>
      <c r="J56" s="7" t="s">
        <v>490</v>
      </c>
      <c r="K56" s="7" t="s">
        <v>644</v>
      </c>
      <c r="L56" s="7" t="s">
        <v>640</v>
      </c>
      <c r="M56" s="7" t="s">
        <v>674</v>
      </c>
      <c r="N56" s="7">
        <v>0</v>
      </c>
      <c r="O56" s="7" t="s">
        <v>646</v>
      </c>
      <c r="P56" s="7">
        <v>12</v>
      </c>
      <c r="Q56" s="7">
        <v>0</v>
      </c>
      <c r="R56" s="7">
        <v>0</v>
      </c>
      <c r="S56" s="7"/>
      <c r="T56" s="7" t="s">
        <v>674</v>
      </c>
      <c r="U56" s="7" t="s">
        <v>674</v>
      </c>
      <c r="V56" s="7" t="s">
        <v>649</v>
      </c>
      <c r="W56" s="7"/>
      <c r="X56" s="7"/>
      <c r="Y56" s="9">
        <v>46022</v>
      </c>
    </row>
    <row r="57" spans="1:25" ht="15.75" x14ac:dyDescent="0.25">
      <c r="A57" s="6" t="s">
        <v>62</v>
      </c>
      <c r="B57" s="6">
        <v>40348</v>
      </c>
      <c r="C57" s="8" t="s">
        <v>121</v>
      </c>
      <c r="D57" s="6" t="s">
        <v>122</v>
      </c>
      <c r="E57" s="7" t="s">
        <v>176</v>
      </c>
      <c r="F57" s="7" t="s">
        <v>274</v>
      </c>
      <c r="G57" s="7" t="s">
        <v>491</v>
      </c>
      <c r="H57" s="7" t="s">
        <v>492</v>
      </c>
      <c r="I57" s="6" t="s">
        <v>443</v>
      </c>
      <c r="J57" s="7" t="s">
        <v>493</v>
      </c>
      <c r="K57" s="7" t="s">
        <v>639</v>
      </c>
      <c r="L57" s="7" t="s">
        <v>640</v>
      </c>
      <c r="M57" s="7" t="s">
        <v>675</v>
      </c>
      <c r="N57" s="7">
        <v>0</v>
      </c>
      <c r="O57" s="7">
        <v>0</v>
      </c>
      <c r="P57" s="7" t="s">
        <v>646</v>
      </c>
      <c r="Q57" s="7">
        <v>0</v>
      </c>
      <c r="R57" s="7" t="s">
        <v>646</v>
      </c>
      <c r="S57" s="7"/>
      <c r="T57" s="7" t="s">
        <v>757</v>
      </c>
      <c r="U57" s="7" t="s">
        <v>729</v>
      </c>
      <c r="V57" s="7" t="s">
        <v>649</v>
      </c>
      <c r="W57" s="7" t="s">
        <v>710</v>
      </c>
      <c r="X57" s="7" t="s">
        <v>711</v>
      </c>
      <c r="Y57" s="9">
        <v>46022</v>
      </c>
    </row>
    <row r="58" spans="1:25" ht="15.75" x14ac:dyDescent="0.25">
      <c r="A58" s="6" t="s">
        <v>715</v>
      </c>
      <c r="B58" s="6">
        <v>40349</v>
      </c>
      <c r="C58" s="8" t="s">
        <v>121</v>
      </c>
      <c r="D58" s="6" t="s">
        <v>122</v>
      </c>
      <c r="E58" s="7" t="s">
        <v>721</v>
      </c>
      <c r="F58" s="7" t="s">
        <v>275</v>
      </c>
      <c r="G58" s="7" t="s">
        <v>494</v>
      </c>
      <c r="H58" s="7">
        <v>71655</v>
      </c>
      <c r="I58" s="7" t="s">
        <v>495</v>
      </c>
      <c r="J58" s="7" t="s">
        <v>496</v>
      </c>
      <c r="K58" s="7" t="s">
        <v>638</v>
      </c>
      <c r="L58" s="7" t="s">
        <v>638</v>
      </c>
      <c r="M58" s="7" t="s">
        <v>727</v>
      </c>
      <c r="N58" s="7">
        <v>0</v>
      </c>
      <c r="O58" s="7" t="s">
        <v>677</v>
      </c>
      <c r="P58" s="7" t="s">
        <v>678</v>
      </c>
      <c r="Q58" s="7">
        <v>0</v>
      </c>
      <c r="R58" s="7">
        <v>0</v>
      </c>
      <c r="S58" s="7"/>
      <c r="T58" s="7" t="s">
        <v>725</v>
      </c>
      <c r="U58" s="7" t="s">
        <v>676</v>
      </c>
      <c r="V58" s="7" t="s">
        <v>649</v>
      </c>
      <c r="W58" s="7"/>
      <c r="X58" s="7"/>
      <c r="Y58" s="9">
        <v>46022</v>
      </c>
    </row>
    <row r="59" spans="1:25" ht="15.75" x14ac:dyDescent="0.25">
      <c r="A59" s="6" t="s">
        <v>63</v>
      </c>
      <c r="B59" s="6">
        <v>40350</v>
      </c>
      <c r="C59" s="8" t="s">
        <v>121</v>
      </c>
      <c r="D59" s="6" t="s">
        <v>125</v>
      </c>
      <c r="E59" s="7" t="s">
        <v>177</v>
      </c>
      <c r="F59" s="7" t="s">
        <v>276</v>
      </c>
      <c r="G59" s="7" t="s">
        <v>497</v>
      </c>
      <c r="H59" s="7" t="s">
        <v>498</v>
      </c>
      <c r="I59" s="7" t="s">
        <v>499</v>
      </c>
      <c r="J59" s="7" t="s">
        <v>500</v>
      </c>
      <c r="K59" s="7" t="s">
        <v>638</v>
      </c>
      <c r="L59" s="7" t="s">
        <v>638</v>
      </c>
      <c r="M59" s="7" t="s">
        <v>679</v>
      </c>
      <c r="N59" s="7">
        <v>0</v>
      </c>
      <c r="O59" s="7" t="s">
        <v>680</v>
      </c>
      <c r="P59" s="7" t="s">
        <v>681</v>
      </c>
      <c r="Q59" s="7">
        <v>0</v>
      </c>
      <c r="R59" s="7">
        <v>0</v>
      </c>
      <c r="S59" s="7"/>
      <c r="T59" s="7" t="s">
        <v>679</v>
      </c>
      <c r="U59" s="7" t="s">
        <v>679</v>
      </c>
      <c r="V59" s="7" t="s">
        <v>649</v>
      </c>
      <c r="W59" s="6"/>
      <c r="X59" s="6"/>
      <c r="Y59" s="9">
        <v>46022</v>
      </c>
    </row>
    <row r="60" spans="1:25" ht="15.75" x14ac:dyDescent="0.25">
      <c r="A60" s="6" t="s">
        <v>64</v>
      </c>
      <c r="B60" s="6">
        <v>40351</v>
      </c>
      <c r="C60" s="8" t="s">
        <v>121</v>
      </c>
      <c r="D60" s="6" t="s">
        <v>123</v>
      </c>
      <c r="E60" s="7" t="s">
        <v>178</v>
      </c>
      <c r="F60" s="7" t="s">
        <v>277</v>
      </c>
      <c r="G60" s="7" t="s">
        <v>501</v>
      </c>
      <c r="H60" s="7">
        <v>72855</v>
      </c>
      <c r="I60" s="7" t="s">
        <v>502</v>
      </c>
      <c r="J60" s="7" t="s">
        <v>503</v>
      </c>
      <c r="K60" s="7" t="s">
        <v>638</v>
      </c>
      <c r="L60" s="7" t="s">
        <v>638</v>
      </c>
      <c r="M60" s="7" t="s">
        <v>682</v>
      </c>
      <c r="N60" s="7">
        <v>0</v>
      </c>
      <c r="O60" s="7" t="s">
        <v>682</v>
      </c>
      <c r="P60" s="7">
        <v>0</v>
      </c>
      <c r="Q60" s="7">
        <v>0</v>
      </c>
      <c r="R60" s="7">
        <v>0</v>
      </c>
      <c r="S60" s="7"/>
      <c r="T60" s="7">
        <f t="shared" ref="T60:T66" si="1">SUM(M60:N60)</f>
        <v>0</v>
      </c>
      <c r="U60" s="7" t="s">
        <v>682</v>
      </c>
      <c r="V60" s="7" t="s">
        <v>649</v>
      </c>
      <c r="W60" s="7"/>
      <c r="X60" s="7"/>
      <c r="Y60" s="9">
        <v>46022</v>
      </c>
    </row>
    <row r="61" spans="1:25" ht="15.75" x14ac:dyDescent="0.25">
      <c r="A61" s="6" t="s">
        <v>65</v>
      </c>
      <c r="B61" s="6">
        <v>40352</v>
      </c>
      <c r="C61" s="8" t="s">
        <v>121</v>
      </c>
      <c r="D61" s="6" t="s">
        <v>123</v>
      </c>
      <c r="E61" s="7" t="s">
        <v>179</v>
      </c>
      <c r="F61" s="7" t="s">
        <v>278</v>
      </c>
      <c r="G61" s="7" t="s">
        <v>504</v>
      </c>
      <c r="H61" s="7">
        <v>72949</v>
      </c>
      <c r="I61" s="7" t="s">
        <v>505</v>
      </c>
      <c r="J61" s="7" t="s">
        <v>506</v>
      </c>
      <c r="K61" s="7" t="s">
        <v>638</v>
      </c>
      <c r="L61" s="7" t="s">
        <v>638</v>
      </c>
      <c r="M61" s="7">
        <v>25</v>
      </c>
      <c r="N61" s="7">
        <v>0</v>
      </c>
      <c r="O61" s="7">
        <v>25</v>
      </c>
      <c r="P61" s="7">
        <v>0</v>
      </c>
      <c r="Q61" s="7">
        <v>0</v>
      </c>
      <c r="R61" s="7">
        <v>0</v>
      </c>
      <c r="S61" s="7"/>
      <c r="T61" s="7">
        <f t="shared" si="1"/>
        <v>25</v>
      </c>
      <c r="U61" s="7">
        <v>25</v>
      </c>
      <c r="V61" s="7" t="s">
        <v>649</v>
      </c>
      <c r="W61" s="7"/>
      <c r="X61" s="7"/>
      <c r="Y61" s="9">
        <v>46022</v>
      </c>
    </row>
    <row r="62" spans="1:25" ht="15.75" x14ac:dyDescent="0.25">
      <c r="A62" s="6" t="s">
        <v>66</v>
      </c>
      <c r="B62" s="6">
        <v>40353</v>
      </c>
      <c r="C62" s="8" t="s">
        <v>121</v>
      </c>
      <c r="D62" s="6" t="s">
        <v>123</v>
      </c>
      <c r="E62" s="7" t="s">
        <v>180</v>
      </c>
      <c r="F62" s="7" t="s">
        <v>279</v>
      </c>
      <c r="G62" s="7" t="s">
        <v>507</v>
      </c>
      <c r="H62" s="7">
        <v>72958</v>
      </c>
      <c r="I62" s="7" t="s">
        <v>508</v>
      </c>
      <c r="J62" s="7" t="s">
        <v>509</v>
      </c>
      <c r="K62" s="7" t="s">
        <v>638</v>
      </c>
      <c r="L62" s="7" t="s">
        <v>638</v>
      </c>
      <c r="M62" s="7">
        <v>24</v>
      </c>
      <c r="N62" s="7">
        <v>0</v>
      </c>
      <c r="O62" s="7">
        <v>24</v>
      </c>
      <c r="P62" s="7">
        <v>0</v>
      </c>
      <c r="Q62" s="7">
        <v>0</v>
      </c>
      <c r="R62" s="7">
        <v>0</v>
      </c>
      <c r="S62" s="7"/>
      <c r="T62" s="7">
        <f t="shared" si="1"/>
        <v>24</v>
      </c>
      <c r="U62" s="7">
        <v>24</v>
      </c>
      <c r="V62" s="7" t="s">
        <v>649</v>
      </c>
      <c r="W62" s="7"/>
      <c r="X62" s="7"/>
      <c r="Y62" s="9">
        <v>46022</v>
      </c>
    </row>
    <row r="63" spans="1:25" ht="15.75" x14ac:dyDescent="0.25">
      <c r="A63" s="6" t="s">
        <v>67</v>
      </c>
      <c r="B63" s="6">
        <v>40354</v>
      </c>
      <c r="C63" s="8" t="s">
        <v>121</v>
      </c>
      <c r="D63" s="6" t="s">
        <v>122</v>
      </c>
      <c r="E63" s="7" t="s">
        <v>181</v>
      </c>
      <c r="F63" s="7" t="s">
        <v>280</v>
      </c>
      <c r="G63" s="7" t="s">
        <v>431</v>
      </c>
      <c r="H63" s="7">
        <v>72903</v>
      </c>
      <c r="I63" s="7" t="s">
        <v>432</v>
      </c>
      <c r="J63" s="7" t="s">
        <v>510</v>
      </c>
      <c r="K63" s="7" t="s">
        <v>639</v>
      </c>
      <c r="L63" s="7" t="s">
        <v>640</v>
      </c>
      <c r="M63" s="7">
        <v>336</v>
      </c>
      <c r="N63" s="7">
        <v>0</v>
      </c>
      <c r="O63" s="7">
        <v>0</v>
      </c>
      <c r="P63" s="7">
        <v>0</v>
      </c>
      <c r="Q63" s="7">
        <v>0</v>
      </c>
      <c r="R63" s="7" t="s">
        <v>679</v>
      </c>
      <c r="S63" s="7"/>
      <c r="T63" s="7">
        <f t="shared" si="1"/>
        <v>336</v>
      </c>
      <c r="U63" s="7" t="s">
        <v>683</v>
      </c>
      <c r="V63" s="7" t="s">
        <v>649</v>
      </c>
      <c r="W63" s="7"/>
      <c r="X63" s="7"/>
      <c r="Y63" s="9">
        <v>46022</v>
      </c>
    </row>
    <row r="64" spans="1:25" ht="15.75" x14ac:dyDescent="0.25">
      <c r="A64" s="6" t="s">
        <v>68</v>
      </c>
      <c r="B64" s="6">
        <v>40355</v>
      </c>
      <c r="C64" s="8" t="s">
        <v>121</v>
      </c>
      <c r="D64" s="6" t="s">
        <v>128</v>
      </c>
      <c r="E64" s="7" t="s">
        <v>182</v>
      </c>
      <c r="F64" s="7" t="s">
        <v>281</v>
      </c>
      <c r="G64" s="7" t="s">
        <v>385</v>
      </c>
      <c r="H64" s="7" t="s">
        <v>511</v>
      </c>
      <c r="I64" s="7" t="s">
        <v>368</v>
      </c>
      <c r="J64" s="7" t="s">
        <v>512</v>
      </c>
      <c r="K64" s="7" t="s">
        <v>638</v>
      </c>
      <c r="L64" s="7" t="s">
        <v>638</v>
      </c>
      <c r="M64" s="7">
        <v>120</v>
      </c>
      <c r="N64" s="7">
        <v>0</v>
      </c>
      <c r="O64" s="7">
        <v>0</v>
      </c>
      <c r="P64" s="7">
        <v>0</v>
      </c>
      <c r="Q64" s="7">
        <v>0</v>
      </c>
      <c r="R64" s="7">
        <v>0</v>
      </c>
      <c r="S64" s="7"/>
      <c r="T64" s="7">
        <f t="shared" si="1"/>
        <v>120</v>
      </c>
      <c r="U64" s="7">
        <v>120</v>
      </c>
      <c r="V64" s="7" t="s">
        <v>649</v>
      </c>
      <c r="W64" s="7"/>
      <c r="X64" s="7"/>
      <c r="Y64" s="9">
        <v>46022</v>
      </c>
    </row>
    <row r="65" spans="1:25" ht="15.75" x14ac:dyDescent="0.25">
      <c r="A65" s="6" t="s">
        <v>69</v>
      </c>
      <c r="B65" s="6">
        <v>40356</v>
      </c>
      <c r="C65" s="8" t="s">
        <v>121</v>
      </c>
      <c r="D65" s="6" t="s">
        <v>123</v>
      </c>
      <c r="E65" s="7" t="s">
        <v>183</v>
      </c>
      <c r="F65" s="7" t="s">
        <v>282</v>
      </c>
      <c r="G65" s="7" t="s">
        <v>513</v>
      </c>
      <c r="H65" s="7" t="s">
        <v>514</v>
      </c>
      <c r="I65" s="7" t="s">
        <v>502</v>
      </c>
      <c r="J65" s="7" t="s">
        <v>515</v>
      </c>
      <c r="K65" s="7" t="s">
        <v>638</v>
      </c>
      <c r="L65" s="7" t="s">
        <v>638</v>
      </c>
      <c r="M65" s="7">
        <v>25</v>
      </c>
      <c r="N65" s="7">
        <v>0</v>
      </c>
      <c r="O65" s="7">
        <v>25</v>
      </c>
      <c r="P65" s="7">
        <v>0</v>
      </c>
      <c r="Q65" s="7">
        <v>0</v>
      </c>
      <c r="R65" s="7">
        <v>0</v>
      </c>
      <c r="S65" s="7"/>
      <c r="T65" s="7">
        <f t="shared" si="1"/>
        <v>25</v>
      </c>
      <c r="U65" s="7">
        <v>25</v>
      </c>
      <c r="V65" s="7" t="s">
        <v>649</v>
      </c>
      <c r="W65" s="7"/>
      <c r="X65" s="7"/>
      <c r="Y65" s="9">
        <v>46022</v>
      </c>
    </row>
    <row r="66" spans="1:25" ht="15.75" x14ac:dyDescent="0.25">
      <c r="A66" s="6" t="s">
        <v>70</v>
      </c>
      <c r="B66" s="6">
        <v>40357</v>
      </c>
      <c r="C66" s="8" t="s">
        <v>121</v>
      </c>
      <c r="D66" s="6" t="s">
        <v>123</v>
      </c>
      <c r="E66" s="7" t="s">
        <v>184</v>
      </c>
      <c r="F66" s="7" t="s">
        <v>283</v>
      </c>
      <c r="G66" s="7" t="s">
        <v>516</v>
      </c>
      <c r="H66" s="7">
        <v>72560</v>
      </c>
      <c r="I66" s="7" t="s">
        <v>517</v>
      </c>
      <c r="J66" s="7" t="s">
        <v>518</v>
      </c>
      <c r="K66" s="7" t="s">
        <v>638</v>
      </c>
      <c r="L66" s="7" t="s">
        <v>638</v>
      </c>
      <c r="M66" s="7">
        <v>25</v>
      </c>
      <c r="N66" s="7">
        <v>0</v>
      </c>
      <c r="O66" s="7">
        <v>25</v>
      </c>
      <c r="P66" s="7">
        <v>0</v>
      </c>
      <c r="Q66" s="7">
        <v>0</v>
      </c>
      <c r="R66" s="7">
        <v>0</v>
      </c>
      <c r="S66" s="7"/>
      <c r="T66" s="7">
        <f t="shared" si="1"/>
        <v>25</v>
      </c>
      <c r="U66" s="7">
        <v>25</v>
      </c>
      <c r="V66" s="7" t="s">
        <v>649</v>
      </c>
      <c r="W66" s="7"/>
      <c r="X66" s="7"/>
      <c r="Y66" s="9">
        <v>46022</v>
      </c>
    </row>
    <row r="67" spans="1:25" ht="15.75" x14ac:dyDescent="0.25">
      <c r="A67" s="6" t="s">
        <v>71</v>
      </c>
      <c r="B67" s="6">
        <v>40358</v>
      </c>
      <c r="C67" s="8" t="s">
        <v>121</v>
      </c>
      <c r="D67" s="6" t="s">
        <v>122</v>
      </c>
      <c r="E67" s="6" t="s">
        <v>185</v>
      </c>
      <c r="F67" s="6" t="s">
        <v>284</v>
      </c>
      <c r="G67" s="6" t="s">
        <v>470</v>
      </c>
      <c r="H67" s="6" t="s">
        <v>519</v>
      </c>
      <c r="I67" s="6" t="s">
        <v>472</v>
      </c>
      <c r="J67" s="6" t="s">
        <v>520</v>
      </c>
      <c r="K67" s="6" t="s">
        <v>639</v>
      </c>
      <c r="L67" s="6" t="s">
        <v>640</v>
      </c>
      <c r="M67" s="6" t="s">
        <v>684</v>
      </c>
      <c r="N67" s="6">
        <v>0</v>
      </c>
      <c r="O67" s="6">
        <v>0</v>
      </c>
      <c r="P67" s="6">
        <v>0</v>
      </c>
      <c r="Q67" s="6">
        <v>0</v>
      </c>
      <c r="R67" s="6" t="s">
        <v>669</v>
      </c>
      <c r="S67" s="6"/>
      <c r="T67" s="6" t="s">
        <v>684</v>
      </c>
      <c r="U67" s="6" t="s">
        <v>684</v>
      </c>
      <c r="V67" s="6" t="s">
        <v>649</v>
      </c>
      <c r="W67" s="6"/>
      <c r="X67" s="6"/>
      <c r="Y67" s="9">
        <v>46022</v>
      </c>
    </row>
    <row r="68" spans="1:25" ht="15.75" x14ac:dyDescent="0.25">
      <c r="A68" s="6" t="s">
        <v>72</v>
      </c>
      <c r="B68" s="6">
        <v>40359</v>
      </c>
      <c r="C68" s="8" t="s">
        <v>121</v>
      </c>
      <c r="D68" s="6" t="s">
        <v>124</v>
      </c>
      <c r="E68" s="7" t="s">
        <v>186</v>
      </c>
      <c r="F68" s="7" t="s">
        <v>285</v>
      </c>
      <c r="G68" s="7" t="s">
        <v>466</v>
      </c>
      <c r="H68" s="7">
        <v>72703</v>
      </c>
      <c r="I68" s="7" t="s">
        <v>412</v>
      </c>
      <c r="J68" s="7" t="s">
        <v>521</v>
      </c>
      <c r="K68" s="7" t="s">
        <v>639</v>
      </c>
      <c r="L68" s="7" t="s">
        <v>640</v>
      </c>
      <c r="M68" s="7" t="s">
        <v>685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7"/>
      <c r="T68" s="7" t="s">
        <v>685</v>
      </c>
      <c r="U68" s="7" t="s">
        <v>685</v>
      </c>
      <c r="V68" s="7" t="s">
        <v>649</v>
      </c>
      <c r="W68" s="7"/>
      <c r="X68" s="7"/>
      <c r="Y68" s="9">
        <v>46022</v>
      </c>
    </row>
    <row r="69" spans="1:25" ht="15.75" x14ac:dyDescent="0.25">
      <c r="A69" s="6" t="s">
        <v>73</v>
      </c>
      <c r="B69" s="6">
        <v>40360</v>
      </c>
      <c r="C69" s="8" t="s">
        <v>121</v>
      </c>
      <c r="D69" s="6" t="s">
        <v>124</v>
      </c>
      <c r="E69" s="7" t="s">
        <v>187</v>
      </c>
      <c r="F69" s="7" t="s">
        <v>286</v>
      </c>
      <c r="G69" s="7" t="s">
        <v>522</v>
      </c>
      <c r="H69" s="7" t="s">
        <v>523</v>
      </c>
      <c r="I69" s="7" t="s">
        <v>432</v>
      </c>
      <c r="J69" s="7" t="s">
        <v>524</v>
      </c>
      <c r="K69" s="7" t="s">
        <v>639</v>
      </c>
      <c r="L69" s="7" t="s">
        <v>640</v>
      </c>
      <c r="M69" s="7" t="s">
        <v>685</v>
      </c>
      <c r="N69" s="7">
        <v>0</v>
      </c>
      <c r="O69" s="7">
        <v>0</v>
      </c>
      <c r="P69" s="7">
        <v>0</v>
      </c>
      <c r="Q69" s="7">
        <v>0</v>
      </c>
      <c r="R69" s="7">
        <v>0</v>
      </c>
      <c r="S69" s="7"/>
      <c r="T69" s="7" t="s">
        <v>685</v>
      </c>
      <c r="U69" s="7" t="s">
        <v>685</v>
      </c>
      <c r="V69" s="7" t="s">
        <v>649</v>
      </c>
      <c r="W69" s="7"/>
      <c r="X69" s="7"/>
      <c r="Y69" s="9">
        <v>46022</v>
      </c>
    </row>
    <row r="70" spans="1:25" ht="15.75" x14ac:dyDescent="0.25">
      <c r="A70" s="6" t="s">
        <v>74</v>
      </c>
      <c r="B70" s="6">
        <v>40361</v>
      </c>
      <c r="C70" s="8" t="s">
        <v>121</v>
      </c>
      <c r="D70" s="6" t="s">
        <v>124</v>
      </c>
      <c r="E70" s="7" t="s">
        <v>188</v>
      </c>
      <c r="F70" s="7" t="s">
        <v>287</v>
      </c>
      <c r="G70" s="7" t="s">
        <v>525</v>
      </c>
      <c r="H70" s="7" t="s">
        <v>526</v>
      </c>
      <c r="I70" s="7" t="s">
        <v>527</v>
      </c>
      <c r="J70" s="7" t="s">
        <v>528</v>
      </c>
      <c r="K70" s="7" t="s">
        <v>639</v>
      </c>
      <c r="L70" s="7" t="s">
        <v>640</v>
      </c>
      <c r="M70" s="7">
        <v>62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/>
      <c r="T70" s="7">
        <v>62</v>
      </c>
      <c r="U70" s="7">
        <v>62</v>
      </c>
      <c r="V70" s="7" t="s">
        <v>649</v>
      </c>
      <c r="W70" s="7"/>
      <c r="X70" s="7"/>
      <c r="Y70" s="9">
        <v>46022</v>
      </c>
    </row>
    <row r="71" spans="1:25" ht="15.75" x14ac:dyDescent="0.25">
      <c r="A71" s="6" t="s">
        <v>75</v>
      </c>
      <c r="B71" s="6">
        <v>40362</v>
      </c>
      <c r="C71" s="8" t="s">
        <v>121</v>
      </c>
      <c r="D71" s="6" t="s">
        <v>125</v>
      </c>
      <c r="E71" s="7" t="s">
        <v>189</v>
      </c>
      <c r="F71" s="7" t="s">
        <v>288</v>
      </c>
      <c r="G71" s="7" t="s">
        <v>477</v>
      </c>
      <c r="H71" s="7" t="s">
        <v>529</v>
      </c>
      <c r="I71" s="7" t="s">
        <v>479</v>
      </c>
      <c r="J71" s="7" t="s">
        <v>530</v>
      </c>
      <c r="K71" s="7" t="s">
        <v>638</v>
      </c>
      <c r="L71" s="7" t="s">
        <v>638</v>
      </c>
      <c r="M71" s="7">
        <v>72</v>
      </c>
      <c r="N71" s="7">
        <v>0</v>
      </c>
      <c r="O71" s="7" t="s">
        <v>674</v>
      </c>
      <c r="P71" s="7" t="s">
        <v>669</v>
      </c>
      <c r="Q71" s="7">
        <v>0</v>
      </c>
      <c r="R71" s="7">
        <v>0</v>
      </c>
      <c r="S71" s="7"/>
      <c r="T71" s="7">
        <f>SUM(M71:N71)</f>
        <v>72</v>
      </c>
      <c r="U71" s="7">
        <v>72</v>
      </c>
      <c r="V71" s="7" t="s">
        <v>649</v>
      </c>
      <c r="W71" s="7"/>
      <c r="X71" s="7"/>
      <c r="Y71" s="9">
        <v>46022</v>
      </c>
    </row>
    <row r="72" spans="1:25" ht="15.75" x14ac:dyDescent="0.25">
      <c r="A72" s="6" t="s">
        <v>76</v>
      </c>
      <c r="B72" s="6">
        <v>40363</v>
      </c>
      <c r="C72" s="8" t="s">
        <v>121</v>
      </c>
      <c r="D72" s="6" t="s">
        <v>125</v>
      </c>
      <c r="E72" s="7" t="s">
        <v>190</v>
      </c>
      <c r="F72" s="7" t="s">
        <v>289</v>
      </c>
      <c r="G72" s="7" t="s">
        <v>431</v>
      </c>
      <c r="H72" s="7" t="s">
        <v>531</v>
      </c>
      <c r="I72" s="7" t="s">
        <v>432</v>
      </c>
      <c r="J72" s="7" t="s">
        <v>510</v>
      </c>
      <c r="K72" s="7" t="s">
        <v>639</v>
      </c>
      <c r="L72" s="7" t="s">
        <v>640</v>
      </c>
      <c r="M72" s="7" t="s">
        <v>669</v>
      </c>
      <c r="N72" s="7" t="s">
        <v>646</v>
      </c>
      <c r="O72" s="7" t="s">
        <v>646</v>
      </c>
      <c r="P72" s="7" t="s">
        <v>646</v>
      </c>
      <c r="Q72" s="7" t="s">
        <v>646</v>
      </c>
      <c r="R72" s="7" t="s">
        <v>646</v>
      </c>
      <c r="S72" s="7"/>
      <c r="T72" s="7" t="s">
        <v>669</v>
      </c>
      <c r="U72" s="7" t="s">
        <v>646</v>
      </c>
      <c r="V72" s="7" t="s">
        <v>649</v>
      </c>
      <c r="W72" s="7"/>
      <c r="X72" s="7"/>
      <c r="Y72" s="9">
        <v>46022</v>
      </c>
    </row>
    <row r="73" spans="1:25" ht="15.75" x14ac:dyDescent="0.25">
      <c r="A73" s="6" t="s">
        <v>77</v>
      </c>
      <c r="B73" s="6">
        <v>40364</v>
      </c>
      <c r="C73" s="8" t="s">
        <v>121</v>
      </c>
      <c r="D73" s="6" t="s">
        <v>125</v>
      </c>
      <c r="E73" s="7" t="s">
        <v>191</v>
      </c>
      <c r="F73" s="7" t="s">
        <v>290</v>
      </c>
      <c r="G73" s="7" t="s">
        <v>385</v>
      </c>
      <c r="H73" s="7">
        <v>72211</v>
      </c>
      <c r="I73" s="7" t="s">
        <v>368</v>
      </c>
      <c r="J73" s="7" t="s">
        <v>532</v>
      </c>
      <c r="K73" s="7" t="s">
        <v>639</v>
      </c>
      <c r="L73" s="7" t="s">
        <v>640</v>
      </c>
      <c r="M73" s="7" t="s">
        <v>686</v>
      </c>
      <c r="N73" s="7">
        <v>0</v>
      </c>
      <c r="O73" s="7">
        <v>0</v>
      </c>
      <c r="P73" s="7">
        <v>0</v>
      </c>
      <c r="Q73" s="7">
        <v>0</v>
      </c>
      <c r="R73" s="7">
        <v>0</v>
      </c>
      <c r="S73" s="7"/>
      <c r="T73" s="7" t="s">
        <v>686</v>
      </c>
      <c r="U73" s="7" t="s">
        <v>686</v>
      </c>
      <c r="V73" s="7" t="s">
        <v>649</v>
      </c>
      <c r="W73" s="7"/>
      <c r="X73" s="7"/>
      <c r="Y73" s="9">
        <v>46022</v>
      </c>
    </row>
    <row r="74" spans="1:25" ht="15.75" x14ac:dyDescent="0.25">
      <c r="A74" s="6" t="s">
        <v>78</v>
      </c>
      <c r="B74" s="6">
        <v>40365</v>
      </c>
      <c r="C74" s="8" t="s">
        <v>121</v>
      </c>
      <c r="D74" s="6" t="s">
        <v>122</v>
      </c>
      <c r="E74" s="7" t="s">
        <v>192</v>
      </c>
      <c r="F74" s="7" t="s">
        <v>291</v>
      </c>
      <c r="G74" s="7" t="s">
        <v>388</v>
      </c>
      <c r="H74" s="7" t="s">
        <v>533</v>
      </c>
      <c r="I74" s="7" t="s">
        <v>389</v>
      </c>
      <c r="J74" s="7" t="s">
        <v>534</v>
      </c>
      <c r="K74" s="7" t="s">
        <v>639</v>
      </c>
      <c r="L74" s="7" t="s">
        <v>640</v>
      </c>
      <c r="M74" s="7">
        <v>282</v>
      </c>
      <c r="N74" s="7">
        <v>0</v>
      </c>
      <c r="O74" s="7">
        <v>0</v>
      </c>
      <c r="P74" s="7" t="s">
        <v>651</v>
      </c>
      <c r="Q74" s="7">
        <v>0</v>
      </c>
      <c r="R74" s="7" t="s">
        <v>646</v>
      </c>
      <c r="S74" s="7"/>
      <c r="T74" s="7">
        <f>SUM(M74:N74)</f>
        <v>282</v>
      </c>
      <c r="U74" s="7">
        <v>282</v>
      </c>
      <c r="V74" s="7" t="s">
        <v>649</v>
      </c>
      <c r="W74" s="7"/>
      <c r="X74" s="7"/>
      <c r="Y74" s="9">
        <v>46022</v>
      </c>
    </row>
    <row r="75" spans="1:25" ht="15.75" x14ac:dyDescent="0.25">
      <c r="A75" s="6" t="s">
        <v>79</v>
      </c>
      <c r="B75" s="6">
        <v>40366</v>
      </c>
      <c r="C75" s="8" t="s">
        <v>121</v>
      </c>
      <c r="D75" s="6" t="s">
        <v>122</v>
      </c>
      <c r="E75" s="7" t="s">
        <v>193</v>
      </c>
      <c r="F75" s="7" t="s">
        <v>753</v>
      </c>
      <c r="G75" s="7" t="s">
        <v>466</v>
      </c>
      <c r="H75" s="7">
        <v>72703</v>
      </c>
      <c r="I75" s="7" t="s">
        <v>412</v>
      </c>
      <c r="J75" s="7" t="s">
        <v>535</v>
      </c>
      <c r="K75" s="7" t="s">
        <v>639</v>
      </c>
      <c r="L75" s="7" t="s">
        <v>640</v>
      </c>
      <c r="M75" s="7" t="s">
        <v>687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/>
      <c r="T75" s="7" t="s">
        <v>687</v>
      </c>
      <c r="U75" s="7" t="s">
        <v>687</v>
      </c>
      <c r="V75" s="7" t="s">
        <v>649</v>
      </c>
      <c r="W75" s="7"/>
      <c r="X75" s="7"/>
      <c r="Y75" s="9">
        <v>46022</v>
      </c>
    </row>
    <row r="76" spans="1:25" ht="15.75" x14ac:dyDescent="0.25">
      <c r="A76" s="6" t="s">
        <v>80</v>
      </c>
      <c r="B76" s="6">
        <v>40367</v>
      </c>
      <c r="C76" s="8" t="s">
        <v>121</v>
      </c>
      <c r="D76" s="6" t="s">
        <v>125</v>
      </c>
      <c r="E76" s="7" t="s">
        <v>194</v>
      </c>
      <c r="F76" s="7" t="s">
        <v>292</v>
      </c>
      <c r="G76" s="7" t="s">
        <v>388</v>
      </c>
      <c r="H76" s="7" t="s">
        <v>536</v>
      </c>
      <c r="I76" s="7" t="s">
        <v>389</v>
      </c>
      <c r="J76" s="7" t="s">
        <v>537</v>
      </c>
      <c r="K76" s="7" t="s">
        <v>638</v>
      </c>
      <c r="L76" s="7" t="s">
        <v>638</v>
      </c>
      <c r="M76" s="7" t="s">
        <v>688</v>
      </c>
      <c r="N76" s="7">
        <v>0</v>
      </c>
      <c r="O76" s="7">
        <v>0</v>
      </c>
      <c r="P76" s="7">
        <v>37</v>
      </c>
      <c r="Q76" s="7">
        <v>0</v>
      </c>
      <c r="R76" s="7" t="s">
        <v>646</v>
      </c>
      <c r="S76" s="7"/>
      <c r="T76" s="7" t="s">
        <v>688</v>
      </c>
      <c r="U76" s="7" t="s">
        <v>688</v>
      </c>
      <c r="V76" s="7" t="s">
        <v>689</v>
      </c>
      <c r="W76" s="7"/>
      <c r="X76" s="7"/>
      <c r="Y76" s="9">
        <v>46022</v>
      </c>
    </row>
    <row r="77" spans="1:25" ht="15.75" x14ac:dyDescent="0.25">
      <c r="A77" s="6" t="s">
        <v>81</v>
      </c>
      <c r="B77" s="6">
        <v>40368</v>
      </c>
      <c r="C77" s="8" t="s">
        <v>121</v>
      </c>
      <c r="D77" s="6" t="s">
        <v>124</v>
      </c>
      <c r="E77" s="7" t="s">
        <v>195</v>
      </c>
      <c r="F77" s="7" t="s">
        <v>293</v>
      </c>
      <c r="G77" s="7" t="s">
        <v>367</v>
      </c>
      <c r="H77" s="7">
        <v>72113</v>
      </c>
      <c r="I77" s="7" t="s">
        <v>368</v>
      </c>
      <c r="J77" s="7" t="s">
        <v>538</v>
      </c>
      <c r="K77" s="7" t="s">
        <v>639</v>
      </c>
      <c r="L77" s="7" t="s">
        <v>640</v>
      </c>
      <c r="M77" s="7" t="s">
        <v>690</v>
      </c>
      <c r="N77" s="7">
        <v>0</v>
      </c>
      <c r="O77" s="7">
        <v>0</v>
      </c>
      <c r="P77" s="7" t="s">
        <v>758</v>
      </c>
      <c r="Q77" s="7">
        <v>14</v>
      </c>
      <c r="R77" s="7">
        <v>0</v>
      </c>
      <c r="S77" s="7"/>
      <c r="T77" s="7" t="s">
        <v>690</v>
      </c>
      <c r="U77" s="7" t="s">
        <v>690</v>
      </c>
      <c r="V77" s="7" t="s">
        <v>649</v>
      </c>
      <c r="W77" s="7"/>
      <c r="X77" s="7"/>
      <c r="Y77" s="9">
        <v>46022</v>
      </c>
    </row>
    <row r="78" spans="1:25" ht="15.75" x14ac:dyDescent="0.25">
      <c r="A78" s="6" t="s">
        <v>82</v>
      </c>
      <c r="B78" s="6">
        <v>40369</v>
      </c>
      <c r="C78" s="8" t="s">
        <v>121</v>
      </c>
      <c r="D78" s="6" t="s">
        <v>124</v>
      </c>
      <c r="E78" s="7" t="s">
        <v>196</v>
      </c>
      <c r="F78" s="7" t="s">
        <v>294</v>
      </c>
      <c r="G78" s="7" t="s">
        <v>443</v>
      </c>
      <c r="H78" s="7" t="s">
        <v>539</v>
      </c>
      <c r="I78" s="7" t="s">
        <v>540</v>
      </c>
      <c r="J78" s="7" t="s">
        <v>541</v>
      </c>
      <c r="K78" s="7" t="s">
        <v>639</v>
      </c>
      <c r="L78" s="7" t="s">
        <v>640</v>
      </c>
      <c r="M78" s="7" t="s">
        <v>691</v>
      </c>
      <c r="N78" s="7">
        <v>0</v>
      </c>
      <c r="O78" s="7">
        <v>0</v>
      </c>
      <c r="P78" s="7">
        <v>0</v>
      </c>
      <c r="Q78" s="7" t="s">
        <v>692</v>
      </c>
      <c r="R78" s="7" t="s">
        <v>646</v>
      </c>
      <c r="S78" s="7"/>
      <c r="T78" s="7" t="s">
        <v>693</v>
      </c>
      <c r="U78" s="7" t="s">
        <v>693</v>
      </c>
      <c r="V78" s="7" t="s">
        <v>649</v>
      </c>
      <c r="W78" s="7"/>
      <c r="X78" s="7"/>
      <c r="Y78" s="9">
        <v>46022</v>
      </c>
    </row>
    <row r="79" spans="1:25" ht="15.75" x14ac:dyDescent="0.25">
      <c r="A79" s="6" t="s">
        <v>83</v>
      </c>
      <c r="B79" s="6">
        <v>40370</v>
      </c>
      <c r="C79" s="8" t="s">
        <v>121</v>
      </c>
      <c r="D79" s="6" t="s">
        <v>123</v>
      </c>
      <c r="E79" s="7" t="s">
        <v>197</v>
      </c>
      <c r="F79" s="7" t="s">
        <v>295</v>
      </c>
      <c r="G79" s="7" t="s">
        <v>542</v>
      </c>
      <c r="H79" s="7" t="s">
        <v>543</v>
      </c>
      <c r="I79" s="7" t="s">
        <v>544</v>
      </c>
      <c r="J79" s="7" t="s">
        <v>545</v>
      </c>
      <c r="K79" s="7" t="s">
        <v>638</v>
      </c>
      <c r="L79" s="7" t="s">
        <v>638</v>
      </c>
      <c r="M79" s="7">
        <v>25</v>
      </c>
      <c r="N79" s="7">
        <v>0</v>
      </c>
      <c r="O79" s="7">
        <v>25</v>
      </c>
      <c r="P79" s="7">
        <v>0</v>
      </c>
      <c r="Q79" s="7">
        <v>0</v>
      </c>
      <c r="R79" s="7">
        <v>0</v>
      </c>
      <c r="S79" s="7"/>
      <c r="T79" s="7">
        <v>25</v>
      </c>
      <c r="U79" s="7">
        <v>25</v>
      </c>
      <c r="V79" s="7" t="s">
        <v>649</v>
      </c>
      <c r="W79" s="7"/>
      <c r="X79" s="7"/>
      <c r="Y79" s="9">
        <v>46022</v>
      </c>
    </row>
    <row r="80" spans="1:25" ht="15.75" x14ac:dyDescent="0.25">
      <c r="A80" s="6" t="s">
        <v>84</v>
      </c>
      <c r="B80" s="6">
        <v>40371</v>
      </c>
      <c r="C80" s="8" t="s">
        <v>121</v>
      </c>
      <c r="D80" s="6" t="s">
        <v>123</v>
      </c>
      <c r="E80" s="7" t="s">
        <v>198</v>
      </c>
      <c r="F80" s="7" t="s">
        <v>296</v>
      </c>
      <c r="G80" s="7" t="s">
        <v>546</v>
      </c>
      <c r="H80" s="7">
        <v>71822</v>
      </c>
      <c r="I80" s="7" t="s">
        <v>547</v>
      </c>
      <c r="J80" s="7" t="s">
        <v>548</v>
      </c>
      <c r="K80" s="7" t="s">
        <v>638</v>
      </c>
      <c r="L80" s="7" t="s">
        <v>638</v>
      </c>
      <c r="M80" s="7">
        <v>25</v>
      </c>
      <c r="N80" s="7">
        <v>0</v>
      </c>
      <c r="O80" s="7">
        <v>25</v>
      </c>
      <c r="P80" s="7">
        <v>0</v>
      </c>
      <c r="Q80" s="7">
        <v>0</v>
      </c>
      <c r="R80" s="7">
        <v>0</v>
      </c>
      <c r="S80" s="7"/>
      <c r="T80" s="7">
        <f>SUM(M80:N80)</f>
        <v>25</v>
      </c>
      <c r="U80" s="7">
        <v>25</v>
      </c>
      <c r="V80" s="7" t="s">
        <v>649</v>
      </c>
      <c r="W80" s="7"/>
      <c r="X80" s="7"/>
      <c r="Y80" s="9">
        <v>46022</v>
      </c>
    </row>
    <row r="81" spans="1:25" ht="15.75" x14ac:dyDescent="0.25">
      <c r="A81" s="6" t="s">
        <v>85</v>
      </c>
      <c r="B81" s="6">
        <v>40372</v>
      </c>
      <c r="C81" s="8" t="s">
        <v>121</v>
      </c>
      <c r="D81" s="6" t="s">
        <v>122</v>
      </c>
      <c r="E81" s="7" t="s">
        <v>199</v>
      </c>
      <c r="F81" s="7" t="s">
        <v>297</v>
      </c>
      <c r="G81" s="7" t="s">
        <v>443</v>
      </c>
      <c r="H81" s="7">
        <v>72015</v>
      </c>
      <c r="I81" s="7" t="s">
        <v>540</v>
      </c>
      <c r="J81" s="7" t="s">
        <v>549</v>
      </c>
      <c r="K81" s="7" t="s">
        <v>639</v>
      </c>
      <c r="L81" s="7" t="s">
        <v>640</v>
      </c>
      <c r="M81" s="7" t="s">
        <v>694</v>
      </c>
      <c r="N81" s="7">
        <v>0</v>
      </c>
      <c r="O81" s="7">
        <v>0</v>
      </c>
      <c r="P81" s="7" t="s">
        <v>695</v>
      </c>
      <c r="Q81" s="7">
        <v>0</v>
      </c>
      <c r="R81" s="7" t="s">
        <v>658</v>
      </c>
      <c r="S81" s="7"/>
      <c r="T81" s="7" t="s">
        <v>694</v>
      </c>
      <c r="U81" s="7" t="s">
        <v>694</v>
      </c>
      <c r="V81" s="7" t="s">
        <v>649</v>
      </c>
      <c r="W81" s="7"/>
      <c r="X81" s="7"/>
      <c r="Y81" s="9">
        <v>46022</v>
      </c>
    </row>
    <row r="82" spans="1:25" ht="15.75" x14ac:dyDescent="0.25">
      <c r="A82" s="6" t="s">
        <v>86</v>
      </c>
      <c r="B82" s="6">
        <v>40373</v>
      </c>
      <c r="C82" s="8" t="s">
        <v>121</v>
      </c>
      <c r="D82" s="6" t="s">
        <v>122</v>
      </c>
      <c r="E82" s="7" t="s">
        <v>200</v>
      </c>
      <c r="F82" s="7" t="s">
        <v>298</v>
      </c>
      <c r="G82" s="7" t="s">
        <v>360</v>
      </c>
      <c r="H82" s="7" t="s">
        <v>550</v>
      </c>
      <c r="I82" s="7" t="s">
        <v>362</v>
      </c>
      <c r="J82" s="7" t="s">
        <v>551</v>
      </c>
      <c r="K82" s="7" t="s">
        <v>639</v>
      </c>
      <c r="L82" s="7" t="s">
        <v>640</v>
      </c>
      <c r="M82" s="7" t="s">
        <v>696</v>
      </c>
      <c r="N82" s="7">
        <v>0</v>
      </c>
      <c r="O82" s="7">
        <v>0</v>
      </c>
      <c r="P82" s="7">
        <v>0</v>
      </c>
      <c r="Q82" s="7">
        <v>0</v>
      </c>
      <c r="R82" s="7" t="s">
        <v>697</v>
      </c>
      <c r="S82" s="7"/>
      <c r="T82" s="7" t="s">
        <v>696</v>
      </c>
      <c r="U82" s="7" t="s">
        <v>696</v>
      </c>
      <c r="V82" s="7" t="s">
        <v>649</v>
      </c>
      <c r="W82" s="7"/>
      <c r="X82" s="7"/>
      <c r="Y82" s="9">
        <v>46022</v>
      </c>
    </row>
    <row r="83" spans="1:25" ht="15.75" x14ac:dyDescent="0.25">
      <c r="A83" s="6" t="s">
        <v>87</v>
      </c>
      <c r="B83" s="6">
        <v>40374</v>
      </c>
      <c r="C83" s="8" t="s">
        <v>121</v>
      </c>
      <c r="D83" s="6" t="s">
        <v>123</v>
      </c>
      <c r="E83" s="7" t="s">
        <v>201</v>
      </c>
      <c r="F83" s="7" t="s">
        <v>299</v>
      </c>
      <c r="G83" s="7" t="s">
        <v>552</v>
      </c>
      <c r="H83" s="7" t="s">
        <v>553</v>
      </c>
      <c r="I83" s="7" t="s">
        <v>360</v>
      </c>
      <c r="J83" s="7" t="s">
        <v>554</v>
      </c>
      <c r="K83" s="7" t="s">
        <v>638</v>
      </c>
      <c r="L83" s="7" t="s">
        <v>638</v>
      </c>
      <c r="M83" s="7">
        <v>25</v>
      </c>
      <c r="N83" s="7">
        <v>0</v>
      </c>
      <c r="O83" s="7">
        <v>25</v>
      </c>
      <c r="P83" s="7">
        <v>0</v>
      </c>
      <c r="Q83" s="7">
        <v>0</v>
      </c>
      <c r="R83" s="7">
        <v>0</v>
      </c>
      <c r="S83" s="7"/>
      <c r="T83" s="7">
        <v>25</v>
      </c>
      <c r="U83" s="7">
        <v>25</v>
      </c>
      <c r="V83" s="7" t="s">
        <v>649</v>
      </c>
      <c r="W83" s="7"/>
      <c r="X83" s="7"/>
      <c r="Y83" s="9">
        <v>46022</v>
      </c>
    </row>
    <row r="84" spans="1:25" ht="15.75" x14ac:dyDescent="0.25">
      <c r="A84" s="6" t="s">
        <v>88</v>
      </c>
      <c r="B84" s="6">
        <v>40375</v>
      </c>
      <c r="C84" s="8" t="s">
        <v>121</v>
      </c>
      <c r="D84" s="6" t="s">
        <v>127</v>
      </c>
      <c r="E84" s="7" t="s">
        <v>202</v>
      </c>
      <c r="F84" s="7" t="s">
        <v>300</v>
      </c>
      <c r="G84" s="7" t="s">
        <v>385</v>
      </c>
      <c r="H84" s="7">
        <v>72205</v>
      </c>
      <c r="I84" s="7" t="s">
        <v>368</v>
      </c>
      <c r="J84" s="7" t="s">
        <v>555</v>
      </c>
      <c r="K84" s="7" t="s">
        <v>638</v>
      </c>
      <c r="L84" s="7" t="s">
        <v>638</v>
      </c>
      <c r="M84" s="7" t="s">
        <v>698</v>
      </c>
      <c r="N84" s="7">
        <v>0</v>
      </c>
      <c r="O84" s="7">
        <v>0</v>
      </c>
      <c r="P84" s="7">
        <v>0</v>
      </c>
      <c r="Q84" s="7">
        <v>0</v>
      </c>
      <c r="R84" s="7">
        <v>0</v>
      </c>
      <c r="S84" s="7"/>
      <c r="T84" s="7" t="s">
        <v>698</v>
      </c>
      <c r="U84" s="7" t="s">
        <v>698</v>
      </c>
      <c r="V84" s="7" t="s">
        <v>649</v>
      </c>
      <c r="W84" s="7"/>
      <c r="X84" s="7"/>
      <c r="Y84" s="9">
        <v>46022</v>
      </c>
    </row>
    <row r="85" spans="1:25" ht="15.75" x14ac:dyDescent="0.25">
      <c r="A85" s="6" t="s">
        <v>89</v>
      </c>
      <c r="B85" s="6">
        <v>40376</v>
      </c>
      <c r="C85" s="8" t="s">
        <v>121</v>
      </c>
      <c r="D85" s="6" t="s">
        <v>122</v>
      </c>
      <c r="E85" s="7" t="s">
        <v>165</v>
      </c>
      <c r="F85" s="7" t="s">
        <v>281</v>
      </c>
      <c r="G85" s="7" t="s">
        <v>385</v>
      </c>
      <c r="H85" s="7" t="s">
        <v>511</v>
      </c>
      <c r="I85" s="7" t="s">
        <v>368</v>
      </c>
      <c r="J85" s="7" t="s">
        <v>722</v>
      </c>
      <c r="K85" s="7" t="s">
        <v>639</v>
      </c>
      <c r="L85" s="7" t="s">
        <v>640</v>
      </c>
      <c r="M85" s="7" t="s">
        <v>699</v>
      </c>
      <c r="N85" s="7" t="s">
        <v>646</v>
      </c>
      <c r="O85" s="7" t="s">
        <v>646</v>
      </c>
      <c r="P85" s="7" t="s">
        <v>700</v>
      </c>
      <c r="Q85" s="7">
        <v>20</v>
      </c>
      <c r="R85" s="7">
        <v>0</v>
      </c>
      <c r="S85" s="7"/>
      <c r="T85" s="7" t="s">
        <v>699</v>
      </c>
      <c r="U85" s="7" t="s">
        <v>701</v>
      </c>
      <c r="V85" s="7" t="s">
        <v>649</v>
      </c>
      <c r="W85" s="7"/>
      <c r="X85" s="7"/>
      <c r="Y85" s="9">
        <v>46022</v>
      </c>
    </row>
    <row r="86" spans="1:25" ht="15.75" x14ac:dyDescent="0.25">
      <c r="A86" s="6" t="s">
        <v>90</v>
      </c>
      <c r="B86" s="6">
        <v>40377</v>
      </c>
      <c r="C86" s="8" t="s">
        <v>121</v>
      </c>
      <c r="D86" s="6" t="s">
        <v>127</v>
      </c>
      <c r="E86" s="6" t="s">
        <v>203</v>
      </c>
      <c r="F86" s="7" t="s">
        <v>301</v>
      </c>
      <c r="G86" s="7" t="s">
        <v>470</v>
      </c>
      <c r="H86" s="7" t="s">
        <v>556</v>
      </c>
      <c r="I86" s="7" t="s">
        <v>472</v>
      </c>
      <c r="J86" s="7" t="s">
        <v>557</v>
      </c>
      <c r="K86" s="7" t="s">
        <v>641</v>
      </c>
      <c r="L86" s="7" t="s">
        <v>640</v>
      </c>
      <c r="M86" s="7" t="s">
        <v>702</v>
      </c>
      <c r="N86" s="7" t="s">
        <v>646</v>
      </c>
      <c r="O86" s="7">
        <v>0</v>
      </c>
      <c r="P86" s="7">
        <v>0</v>
      </c>
      <c r="Q86" s="7">
        <v>0</v>
      </c>
      <c r="R86" s="7">
        <v>0</v>
      </c>
      <c r="S86" s="7"/>
      <c r="T86" s="7" t="s">
        <v>702</v>
      </c>
      <c r="U86" s="7" t="s">
        <v>702</v>
      </c>
      <c r="V86" s="7" t="s">
        <v>649</v>
      </c>
      <c r="W86" s="6"/>
      <c r="X86" s="6"/>
      <c r="Y86" s="9">
        <v>46022</v>
      </c>
    </row>
    <row r="87" spans="1:25" ht="15.75" x14ac:dyDescent="0.25">
      <c r="A87" s="6" t="s">
        <v>91</v>
      </c>
      <c r="B87" s="6">
        <v>40378</v>
      </c>
      <c r="C87" s="8" t="s">
        <v>121</v>
      </c>
      <c r="D87" s="6" t="s">
        <v>127</v>
      </c>
      <c r="E87" s="7" t="s">
        <v>754</v>
      </c>
      <c r="F87" s="7" t="s">
        <v>302</v>
      </c>
      <c r="G87" s="7" t="s">
        <v>431</v>
      </c>
      <c r="H87" s="7" t="s">
        <v>558</v>
      </c>
      <c r="I87" s="7" t="s">
        <v>432</v>
      </c>
      <c r="J87" s="7" t="s">
        <v>559</v>
      </c>
      <c r="K87" s="7" t="s">
        <v>639</v>
      </c>
      <c r="L87" s="7" t="s">
        <v>640</v>
      </c>
      <c r="M87" s="7">
        <v>25</v>
      </c>
      <c r="N87" s="7">
        <v>0</v>
      </c>
      <c r="O87" s="7">
        <v>0</v>
      </c>
      <c r="P87" s="7">
        <v>0</v>
      </c>
      <c r="Q87" s="7">
        <v>0</v>
      </c>
      <c r="R87" s="7">
        <v>0</v>
      </c>
      <c r="S87" s="7"/>
      <c r="T87" s="7">
        <v>25</v>
      </c>
      <c r="U87" s="7">
        <v>25</v>
      </c>
      <c r="V87" s="7" t="s">
        <v>649</v>
      </c>
      <c r="W87" s="7"/>
      <c r="X87" s="7"/>
      <c r="Y87" s="9">
        <v>46022</v>
      </c>
    </row>
    <row r="88" spans="1:25" ht="15.75" x14ac:dyDescent="0.25">
      <c r="A88" s="6" t="s">
        <v>92</v>
      </c>
      <c r="B88" s="6">
        <v>40379</v>
      </c>
      <c r="C88" s="8" t="s">
        <v>121</v>
      </c>
      <c r="D88" s="6" t="s">
        <v>127</v>
      </c>
      <c r="E88" s="7" t="s">
        <v>204</v>
      </c>
      <c r="F88" s="7" t="s">
        <v>303</v>
      </c>
      <c r="G88" s="7" t="s">
        <v>388</v>
      </c>
      <c r="H88" s="7" t="s">
        <v>560</v>
      </c>
      <c r="I88" s="7" t="s">
        <v>389</v>
      </c>
      <c r="J88" s="7" t="s">
        <v>561</v>
      </c>
      <c r="K88" s="7" t="s">
        <v>639</v>
      </c>
      <c r="L88" s="7" t="s">
        <v>640</v>
      </c>
      <c r="M88" s="7">
        <v>27</v>
      </c>
      <c r="N88" s="7">
        <v>0</v>
      </c>
      <c r="O88" s="7">
        <v>0</v>
      </c>
      <c r="P88" s="7">
        <v>0</v>
      </c>
      <c r="Q88" s="7">
        <v>0</v>
      </c>
      <c r="R88" s="7">
        <v>0</v>
      </c>
      <c r="S88" s="7"/>
      <c r="T88" s="7">
        <f>SUM(M88:N88)</f>
        <v>27</v>
      </c>
      <c r="U88" s="7">
        <v>27</v>
      </c>
      <c r="V88" s="7" t="s">
        <v>649</v>
      </c>
      <c r="W88" s="7"/>
      <c r="X88" s="7"/>
      <c r="Y88" s="9">
        <v>46022</v>
      </c>
    </row>
    <row r="89" spans="1:25" ht="15.75" x14ac:dyDescent="0.25">
      <c r="A89" s="6" t="s">
        <v>93</v>
      </c>
      <c r="B89" s="6">
        <v>40380</v>
      </c>
      <c r="C89" s="8" t="s">
        <v>121</v>
      </c>
      <c r="D89" s="6" t="s">
        <v>124</v>
      </c>
      <c r="E89" s="6" t="s">
        <v>205</v>
      </c>
      <c r="F89" s="7" t="s">
        <v>304</v>
      </c>
      <c r="G89" s="7" t="s">
        <v>360</v>
      </c>
      <c r="H89" s="7" t="s">
        <v>562</v>
      </c>
      <c r="I89" s="7" t="s">
        <v>362</v>
      </c>
      <c r="J89" s="7" t="s">
        <v>563</v>
      </c>
      <c r="K89" s="7" t="s">
        <v>639</v>
      </c>
      <c r="L89" s="7" t="s">
        <v>640</v>
      </c>
      <c r="M89" s="7" t="s">
        <v>693</v>
      </c>
      <c r="N89" s="7">
        <v>0</v>
      </c>
      <c r="O89" s="7">
        <v>0</v>
      </c>
      <c r="P89" s="7">
        <v>0</v>
      </c>
      <c r="Q89" s="7" t="s">
        <v>646</v>
      </c>
      <c r="R89" s="7">
        <v>0</v>
      </c>
      <c r="S89" s="7"/>
      <c r="T89" s="7" t="s">
        <v>693</v>
      </c>
      <c r="U89" s="7" t="s">
        <v>693</v>
      </c>
      <c r="V89" s="7" t="s">
        <v>649</v>
      </c>
      <c r="W89" s="6"/>
      <c r="X89" s="6"/>
      <c r="Y89" s="9">
        <v>46022</v>
      </c>
    </row>
    <row r="90" spans="1:25" ht="15.75" x14ac:dyDescent="0.25">
      <c r="A90" s="6" t="s">
        <v>94</v>
      </c>
      <c r="B90" s="6">
        <v>40381</v>
      </c>
      <c r="C90" s="8" t="s">
        <v>121</v>
      </c>
      <c r="D90" s="6" t="s">
        <v>125</v>
      </c>
      <c r="E90" s="7" t="s">
        <v>206</v>
      </c>
      <c r="F90" s="7" t="s">
        <v>305</v>
      </c>
      <c r="G90" s="7" t="s">
        <v>411</v>
      </c>
      <c r="H90" s="7" t="s">
        <v>564</v>
      </c>
      <c r="I90" s="7" t="s">
        <v>412</v>
      </c>
      <c r="J90" s="7" t="s">
        <v>565</v>
      </c>
      <c r="K90" s="7" t="s">
        <v>639</v>
      </c>
      <c r="L90" s="7" t="s">
        <v>640</v>
      </c>
      <c r="M90" s="7" t="s">
        <v>652</v>
      </c>
      <c r="N90" s="7">
        <v>0</v>
      </c>
      <c r="O90" s="7">
        <v>0</v>
      </c>
      <c r="P90" s="7">
        <v>0</v>
      </c>
      <c r="Q90" s="7">
        <v>0</v>
      </c>
      <c r="R90" s="7">
        <v>0</v>
      </c>
      <c r="S90" s="7"/>
      <c r="T90" s="7" t="s">
        <v>652</v>
      </c>
      <c r="U90" s="7" t="s">
        <v>652</v>
      </c>
      <c r="V90" s="7" t="s">
        <v>649</v>
      </c>
      <c r="W90" s="7"/>
      <c r="X90" s="7"/>
      <c r="Y90" s="9">
        <v>46022</v>
      </c>
    </row>
    <row r="91" spans="1:25" ht="15.75" x14ac:dyDescent="0.25">
      <c r="A91" s="6" t="s">
        <v>95</v>
      </c>
      <c r="B91" s="6">
        <v>40382</v>
      </c>
      <c r="C91" s="8" t="s">
        <v>121</v>
      </c>
      <c r="D91" s="6" t="s">
        <v>124</v>
      </c>
      <c r="E91" s="7" t="s">
        <v>207</v>
      </c>
      <c r="F91" s="7" t="s">
        <v>306</v>
      </c>
      <c r="G91" s="7" t="s">
        <v>385</v>
      </c>
      <c r="H91" s="7">
        <v>72211</v>
      </c>
      <c r="I91" s="7" t="s">
        <v>368</v>
      </c>
      <c r="J91" s="7" t="s">
        <v>566</v>
      </c>
      <c r="K91" s="7" t="s">
        <v>639</v>
      </c>
      <c r="L91" s="7" t="s">
        <v>640</v>
      </c>
      <c r="M91" s="7" t="s">
        <v>690</v>
      </c>
      <c r="N91" s="7">
        <v>0</v>
      </c>
      <c r="O91" s="7">
        <v>0</v>
      </c>
      <c r="P91" s="7">
        <v>0</v>
      </c>
      <c r="Q91" s="7">
        <v>0</v>
      </c>
      <c r="R91" s="7">
        <v>0</v>
      </c>
      <c r="S91" s="7"/>
      <c r="T91" s="7" t="s">
        <v>690</v>
      </c>
      <c r="U91" s="7" t="s">
        <v>690</v>
      </c>
      <c r="V91" s="7" t="s">
        <v>649</v>
      </c>
      <c r="W91" s="7"/>
      <c r="X91" s="7"/>
      <c r="Y91" s="9">
        <v>46022</v>
      </c>
    </row>
    <row r="92" spans="1:25" ht="15.75" x14ac:dyDescent="0.25">
      <c r="A92" s="6" t="s">
        <v>96</v>
      </c>
      <c r="B92" s="6">
        <v>40383</v>
      </c>
      <c r="C92" s="8" t="s">
        <v>121</v>
      </c>
      <c r="D92" s="6" t="s">
        <v>128</v>
      </c>
      <c r="E92" s="7" t="s">
        <v>208</v>
      </c>
      <c r="F92" s="7" t="s">
        <v>307</v>
      </c>
      <c r="G92" s="7" t="s">
        <v>542</v>
      </c>
      <c r="H92" s="7" t="s">
        <v>567</v>
      </c>
      <c r="I92" s="7" t="s">
        <v>544</v>
      </c>
      <c r="J92" s="7" t="s">
        <v>568</v>
      </c>
      <c r="K92" s="7" t="s">
        <v>638</v>
      </c>
      <c r="L92" s="7" t="s">
        <v>638</v>
      </c>
      <c r="M92" s="7" t="s">
        <v>692</v>
      </c>
      <c r="N92" s="7">
        <v>0</v>
      </c>
      <c r="O92" s="7" t="s">
        <v>646</v>
      </c>
      <c r="P92" s="7">
        <v>0</v>
      </c>
      <c r="Q92" s="7">
        <v>0</v>
      </c>
      <c r="R92" s="7">
        <v>0</v>
      </c>
      <c r="S92" s="7"/>
      <c r="T92" s="7" t="s">
        <v>692</v>
      </c>
      <c r="U92" s="7" t="s">
        <v>692</v>
      </c>
      <c r="V92" s="7" t="s">
        <v>649</v>
      </c>
      <c r="W92" s="7"/>
      <c r="X92" s="7"/>
      <c r="Y92" s="9">
        <v>46022</v>
      </c>
    </row>
    <row r="93" spans="1:25" ht="15.75" x14ac:dyDescent="0.25">
      <c r="A93" s="6" t="s">
        <v>97</v>
      </c>
      <c r="B93" s="6">
        <v>40384</v>
      </c>
      <c r="C93" s="8" t="s">
        <v>121</v>
      </c>
      <c r="D93" s="6" t="s">
        <v>125</v>
      </c>
      <c r="E93" s="7" t="s">
        <v>209</v>
      </c>
      <c r="F93" s="7" t="s">
        <v>308</v>
      </c>
      <c r="G93" s="7" t="s">
        <v>569</v>
      </c>
      <c r="H93" s="7" t="s">
        <v>570</v>
      </c>
      <c r="I93" s="7" t="s">
        <v>571</v>
      </c>
      <c r="J93" s="7" t="s">
        <v>572</v>
      </c>
      <c r="K93" s="7" t="s">
        <v>639</v>
      </c>
      <c r="L93" s="7" t="s">
        <v>640</v>
      </c>
      <c r="M93" s="7" t="s">
        <v>678</v>
      </c>
      <c r="N93" s="7" t="s">
        <v>646</v>
      </c>
      <c r="O93" s="7" t="s">
        <v>646</v>
      </c>
      <c r="P93" s="7" t="s">
        <v>646</v>
      </c>
      <c r="Q93" s="7" t="s">
        <v>646</v>
      </c>
      <c r="R93" s="7" t="s">
        <v>646</v>
      </c>
      <c r="S93" s="7"/>
      <c r="T93" s="7" t="s">
        <v>678</v>
      </c>
      <c r="U93" s="7" t="s">
        <v>678</v>
      </c>
      <c r="V93" s="7" t="s">
        <v>649</v>
      </c>
      <c r="W93" s="7"/>
      <c r="X93" s="7"/>
      <c r="Y93" s="9">
        <v>46022</v>
      </c>
    </row>
    <row r="94" spans="1:25" ht="15.75" x14ac:dyDescent="0.25">
      <c r="A94" s="6" t="s">
        <v>98</v>
      </c>
      <c r="B94" s="6">
        <v>40385</v>
      </c>
      <c r="C94" s="8" t="s">
        <v>121</v>
      </c>
      <c r="D94" s="6" t="s">
        <v>128</v>
      </c>
      <c r="E94" s="7" t="s">
        <v>210</v>
      </c>
      <c r="F94" s="7" t="s">
        <v>309</v>
      </c>
      <c r="G94" s="7" t="s">
        <v>431</v>
      </c>
      <c r="H94" s="7" t="s">
        <v>573</v>
      </c>
      <c r="I94" s="7" t="s">
        <v>432</v>
      </c>
      <c r="J94" s="7" t="s">
        <v>574</v>
      </c>
      <c r="K94" s="7" t="s">
        <v>639</v>
      </c>
      <c r="L94" s="7" t="s">
        <v>640</v>
      </c>
      <c r="M94" s="7">
        <v>80</v>
      </c>
      <c r="N94" s="7">
        <v>0</v>
      </c>
      <c r="O94" s="7">
        <v>0</v>
      </c>
      <c r="P94" s="7">
        <v>0</v>
      </c>
      <c r="Q94" s="7">
        <v>0</v>
      </c>
      <c r="R94" s="7">
        <v>0</v>
      </c>
      <c r="S94" s="7"/>
      <c r="T94" s="7">
        <f>SUM(M94:N94)</f>
        <v>80</v>
      </c>
      <c r="U94" s="7">
        <v>80</v>
      </c>
      <c r="V94" s="7" t="s">
        <v>649</v>
      </c>
      <c r="W94" s="7"/>
      <c r="X94" s="7"/>
      <c r="Y94" s="9">
        <v>46022</v>
      </c>
    </row>
    <row r="95" spans="1:25" ht="15.75" x14ac:dyDescent="0.25">
      <c r="A95" s="6" t="s">
        <v>99</v>
      </c>
      <c r="B95" s="6">
        <v>40386</v>
      </c>
      <c r="C95" s="8" t="s">
        <v>121</v>
      </c>
      <c r="D95" s="6" t="s">
        <v>128</v>
      </c>
      <c r="E95" s="7" t="s">
        <v>211</v>
      </c>
      <c r="F95" s="7" t="s">
        <v>310</v>
      </c>
      <c r="G95" s="7" t="s">
        <v>388</v>
      </c>
      <c r="H95" s="7" t="s">
        <v>575</v>
      </c>
      <c r="I95" s="7" t="s">
        <v>389</v>
      </c>
      <c r="J95" s="7" t="s">
        <v>576</v>
      </c>
      <c r="K95" s="7" t="s">
        <v>639</v>
      </c>
      <c r="L95" s="7" t="s">
        <v>640</v>
      </c>
      <c r="M95" s="7" t="s">
        <v>674</v>
      </c>
      <c r="N95" s="7">
        <v>0</v>
      </c>
      <c r="O95" s="7">
        <v>0</v>
      </c>
      <c r="P95" s="7">
        <v>0</v>
      </c>
      <c r="Q95" s="7">
        <v>0</v>
      </c>
      <c r="R95" s="7">
        <v>0</v>
      </c>
      <c r="S95" s="7"/>
      <c r="T95" s="7" t="s">
        <v>674</v>
      </c>
      <c r="U95" s="7" t="s">
        <v>674</v>
      </c>
      <c r="V95" s="7" t="s">
        <v>649</v>
      </c>
      <c r="W95" s="7"/>
      <c r="X95" s="7"/>
      <c r="Y95" s="9">
        <v>46022</v>
      </c>
    </row>
    <row r="96" spans="1:25" ht="15.75" x14ac:dyDescent="0.25">
      <c r="A96" s="6" t="s">
        <v>100</v>
      </c>
      <c r="B96" s="6">
        <v>40387</v>
      </c>
      <c r="C96" s="8" t="s">
        <v>121</v>
      </c>
      <c r="D96" s="6" t="s">
        <v>128</v>
      </c>
      <c r="E96" s="7" t="s">
        <v>212</v>
      </c>
      <c r="F96" s="7" t="s">
        <v>311</v>
      </c>
      <c r="G96" s="7" t="s">
        <v>394</v>
      </c>
      <c r="H96" s="7" t="s">
        <v>577</v>
      </c>
      <c r="I96" s="7" t="s">
        <v>368</v>
      </c>
      <c r="J96" s="7" t="s">
        <v>578</v>
      </c>
      <c r="K96" s="7" t="s">
        <v>639</v>
      </c>
      <c r="L96" s="7" t="s">
        <v>640</v>
      </c>
      <c r="M96" s="7" t="s">
        <v>759</v>
      </c>
      <c r="N96" s="7">
        <v>0</v>
      </c>
      <c r="O96" s="7">
        <v>0</v>
      </c>
      <c r="P96" s="7">
        <v>0</v>
      </c>
      <c r="Q96" s="7">
        <v>0</v>
      </c>
      <c r="R96" s="7">
        <v>0</v>
      </c>
      <c r="S96" s="7"/>
      <c r="T96" s="7" t="s">
        <v>759</v>
      </c>
      <c r="U96" s="7" t="s">
        <v>759</v>
      </c>
      <c r="V96" s="7" t="s">
        <v>649</v>
      </c>
      <c r="W96" s="7"/>
      <c r="X96" s="7"/>
      <c r="Y96" s="9">
        <v>46022</v>
      </c>
    </row>
    <row r="97" spans="1:25" ht="15.75" x14ac:dyDescent="0.25">
      <c r="A97" s="6" t="s">
        <v>101</v>
      </c>
      <c r="B97" s="6">
        <v>40388</v>
      </c>
      <c r="C97" s="8" t="s">
        <v>121</v>
      </c>
      <c r="D97" s="6" t="s">
        <v>128</v>
      </c>
      <c r="E97" s="7" t="s">
        <v>213</v>
      </c>
      <c r="F97" s="7" t="s">
        <v>312</v>
      </c>
      <c r="G97" s="7" t="s">
        <v>470</v>
      </c>
      <c r="H97" s="7" t="s">
        <v>579</v>
      </c>
      <c r="I97" s="7" t="s">
        <v>472</v>
      </c>
      <c r="J97" s="7" t="s">
        <v>580</v>
      </c>
      <c r="K97" s="7" t="s">
        <v>639</v>
      </c>
      <c r="L97" s="7" t="s">
        <v>640</v>
      </c>
      <c r="M97" s="7" t="s">
        <v>650</v>
      </c>
      <c r="N97" s="7">
        <v>0</v>
      </c>
      <c r="O97" s="7">
        <v>0</v>
      </c>
      <c r="P97" s="7">
        <v>0</v>
      </c>
      <c r="Q97" s="7">
        <v>0</v>
      </c>
      <c r="R97" s="7">
        <v>0</v>
      </c>
      <c r="S97" s="7"/>
      <c r="T97" s="7" t="s">
        <v>693</v>
      </c>
      <c r="U97" s="7" t="s">
        <v>693</v>
      </c>
      <c r="V97" s="7" t="s">
        <v>649</v>
      </c>
      <c r="W97" s="7"/>
      <c r="X97" s="7"/>
      <c r="Y97" s="9">
        <v>46022</v>
      </c>
    </row>
    <row r="98" spans="1:25" ht="15.75" x14ac:dyDescent="0.25">
      <c r="A98" s="6" t="s">
        <v>102</v>
      </c>
      <c r="B98" s="6">
        <v>40389</v>
      </c>
      <c r="C98" s="8" t="s">
        <v>121</v>
      </c>
      <c r="D98" s="6" t="s">
        <v>128</v>
      </c>
      <c r="E98" s="7" t="s">
        <v>214</v>
      </c>
      <c r="F98" s="7" t="s">
        <v>313</v>
      </c>
      <c r="G98" s="7" t="s">
        <v>466</v>
      </c>
      <c r="H98" s="7" t="s">
        <v>581</v>
      </c>
      <c r="I98" s="7" t="s">
        <v>412</v>
      </c>
      <c r="J98" s="7" t="s">
        <v>582</v>
      </c>
      <c r="K98" s="7" t="s">
        <v>639</v>
      </c>
      <c r="L98" s="7" t="s">
        <v>640</v>
      </c>
      <c r="M98" s="7" t="s">
        <v>693</v>
      </c>
      <c r="N98" s="7">
        <v>0</v>
      </c>
      <c r="O98" s="7">
        <v>0</v>
      </c>
      <c r="P98" s="7">
        <v>0</v>
      </c>
      <c r="Q98" s="7">
        <v>0</v>
      </c>
      <c r="R98" s="7">
        <v>0</v>
      </c>
      <c r="S98" s="7"/>
      <c r="T98" s="7" t="s">
        <v>693</v>
      </c>
      <c r="U98" s="7" t="s">
        <v>693</v>
      </c>
      <c r="V98" s="7" t="s">
        <v>649</v>
      </c>
      <c r="W98" s="7"/>
      <c r="X98" s="7"/>
      <c r="Y98" s="9">
        <v>46022</v>
      </c>
    </row>
    <row r="99" spans="1:25" ht="15.75" x14ac:dyDescent="0.25">
      <c r="A99" s="6" t="s">
        <v>103</v>
      </c>
      <c r="B99" s="6">
        <v>40390</v>
      </c>
      <c r="C99" s="8" t="s">
        <v>121</v>
      </c>
      <c r="D99" s="6" t="s">
        <v>127</v>
      </c>
      <c r="E99" s="6" t="s">
        <v>215</v>
      </c>
      <c r="F99" s="6" t="s">
        <v>314</v>
      </c>
      <c r="G99" s="6" t="s">
        <v>385</v>
      </c>
      <c r="H99" s="6" t="s">
        <v>583</v>
      </c>
      <c r="I99" s="6" t="s">
        <v>368</v>
      </c>
      <c r="J99" s="6" t="s">
        <v>584</v>
      </c>
      <c r="K99" s="6" t="s">
        <v>641</v>
      </c>
      <c r="L99" s="6" t="s">
        <v>640</v>
      </c>
      <c r="M99" s="6">
        <v>40</v>
      </c>
      <c r="N99" s="6">
        <v>0</v>
      </c>
      <c r="O99" s="6">
        <v>0</v>
      </c>
      <c r="P99" s="6">
        <v>0</v>
      </c>
      <c r="Q99" s="6">
        <v>0</v>
      </c>
      <c r="R99" s="6">
        <v>0</v>
      </c>
      <c r="S99" s="6"/>
      <c r="T99" s="6">
        <v>40</v>
      </c>
      <c r="U99" s="6">
        <v>40</v>
      </c>
      <c r="V99" s="6" t="s">
        <v>649</v>
      </c>
      <c r="W99" s="6"/>
      <c r="X99" s="6"/>
      <c r="Y99" s="9">
        <v>46022</v>
      </c>
    </row>
    <row r="100" spans="1:25" ht="15.75" x14ac:dyDescent="0.25">
      <c r="A100" s="6" t="s">
        <v>104</v>
      </c>
      <c r="B100" s="6">
        <v>40391</v>
      </c>
      <c r="C100" s="8" t="s">
        <v>121</v>
      </c>
      <c r="D100" s="6" t="s">
        <v>123</v>
      </c>
      <c r="E100" s="7" t="s">
        <v>216</v>
      </c>
      <c r="F100" s="7" t="s">
        <v>315</v>
      </c>
      <c r="G100" s="7" t="s">
        <v>585</v>
      </c>
      <c r="H100" s="7" t="s">
        <v>586</v>
      </c>
      <c r="I100" s="7" t="s">
        <v>587</v>
      </c>
      <c r="J100" s="7" t="s">
        <v>588</v>
      </c>
      <c r="K100" s="7" t="s">
        <v>639</v>
      </c>
      <c r="L100" s="7" t="s">
        <v>640</v>
      </c>
      <c r="M100" s="7">
        <v>25</v>
      </c>
      <c r="N100" s="7">
        <v>0</v>
      </c>
      <c r="O100" s="7">
        <v>25</v>
      </c>
      <c r="P100" s="7">
        <v>0</v>
      </c>
      <c r="Q100" s="7">
        <v>0</v>
      </c>
      <c r="R100" s="7">
        <v>0</v>
      </c>
      <c r="S100" s="7"/>
      <c r="T100" s="7">
        <f>SUM(M100:N100)</f>
        <v>25</v>
      </c>
      <c r="U100" s="7">
        <v>25</v>
      </c>
      <c r="V100" s="7" t="s">
        <v>649</v>
      </c>
      <c r="W100" s="7"/>
      <c r="X100" s="7"/>
      <c r="Y100" s="9">
        <v>46022</v>
      </c>
    </row>
    <row r="101" spans="1:25" ht="15.75" x14ac:dyDescent="0.25">
      <c r="A101" s="6" t="s">
        <v>105</v>
      </c>
      <c r="B101" s="6">
        <v>40392</v>
      </c>
      <c r="C101" s="8" t="s">
        <v>121</v>
      </c>
      <c r="D101" s="6" t="s">
        <v>125</v>
      </c>
      <c r="E101" s="7" t="s">
        <v>217</v>
      </c>
      <c r="F101" s="7" t="s">
        <v>316</v>
      </c>
      <c r="G101" s="7" t="s">
        <v>385</v>
      </c>
      <c r="H101" s="7" t="s">
        <v>589</v>
      </c>
      <c r="I101" s="7" t="s">
        <v>368</v>
      </c>
      <c r="J101" s="7" t="s">
        <v>590</v>
      </c>
      <c r="K101" s="7" t="s">
        <v>639</v>
      </c>
      <c r="L101" s="7" t="s">
        <v>640</v>
      </c>
      <c r="M101" s="7">
        <v>615</v>
      </c>
      <c r="N101" s="7">
        <v>0</v>
      </c>
      <c r="O101" s="7">
        <v>0</v>
      </c>
      <c r="P101" s="7" t="s">
        <v>704</v>
      </c>
      <c r="Q101" s="7" t="s">
        <v>703</v>
      </c>
      <c r="R101" s="7">
        <v>0</v>
      </c>
      <c r="S101" s="7"/>
      <c r="T101" s="7">
        <f>SUM(M101:N101)</f>
        <v>615</v>
      </c>
      <c r="U101" s="7" t="s">
        <v>705</v>
      </c>
      <c r="V101" s="7" t="s">
        <v>649</v>
      </c>
      <c r="W101" s="7"/>
      <c r="X101" s="7"/>
      <c r="Y101" s="9">
        <v>46022</v>
      </c>
    </row>
    <row r="102" spans="1:25" ht="15.75" x14ac:dyDescent="0.25">
      <c r="A102" s="6" t="s">
        <v>106</v>
      </c>
      <c r="B102" s="6">
        <v>40393</v>
      </c>
      <c r="C102" s="8" t="s">
        <v>121</v>
      </c>
      <c r="D102" s="6" t="s">
        <v>712</v>
      </c>
      <c r="E102" s="7" t="s">
        <v>218</v>
      </c>
      <c r="F102" s="7" t="s">
        <v>317</v>
      </c>
      <c r="G102" s="7" t="s">
        <v>591</v>
      </c>
      <c r="H102" s="7">
        <v>72342</v>
      </c>
      <c r="I102" s="7" t="s">
        <v>592</v>
      </c>
      <c r="J102" s="7" t="s">
        <v>593</v>
      </c>
      <c r="K102" s="7" t="s">
        <v>638</v>
      </c>
      <c r="L102" s="7" t="s">
        <v>756</v>
      </c>
      <c r="M102" s="7" t="s">
        <v>646</v>
      </c>
      <c r="N102" s="7">
        <v>0</v>
      </c>
      <c r="O102" s="7" t="s">
        <v>646</v>
      </c>
      <c r="P102" s="7">
        <v>0</v>
      </c>
      <c r="Q102" s="7">
        <v>0</v>
      </c>
      <c r="R102" s="7" t="s">
        <v>646</v>
      </c>
      <c r="S102" s="7"/>
      <c r="T102" s="7" t="s">
        <v>646</v>
      </c>
      <c r="U102" s="7" t="s">
        <v>646</v>
      </c>
      <c r="V102" s="7" t="s">
        <v>649</v>
      </c>
      <c r="W102" s="7"/>
      <c r="X102" s="7"/>
      <c r="Y102" s="9">
        <v>46022</v>
      </c>
    </row>
    <row r="103" spans="1:25" ht="15.75" x14ac:dyDescent="0.25">
      <c r="A103" s="6" t="s">
        <v>107</v>
      </c>
      <c r="B103" s="6">
        <v>40394</v>
      </c>
      <c r="C103" s="8" t="s">
        <v>121</v>
      </c>
      <c r="D103" s="6" t="s">
        <v>125</v>
      </c>
      <c r="E103" s="6" t="s">
        <v>219</v>
      </c>
      <c r="F103" s="6" t="s">
        <v>318</v>
      </c>
      <c r="G103" s="6" t="s">
        <v>406</v>
      </c>
      <c r="H103" s="6" t="s">
        <v>594</v>
      </c>
      <c r="I103" s="6" t="s">
        <v>595</v>
      </c>
      <c r="J103" s="6" t="s">
        <v>596</v>
      </c>
      <c r="K103" s="6" t="s">
        <v>639</v>
      </c>
      <c r="L103" s="6" t="s">
        <v>640</v>
      </c>
      <c r="M103" s="6">
        <v>103</v>
      </c>
      <c r="N103" s="6">
        <v>0</v>
      </c>
      <c r="O103" s="6">
        <v>0</v>
      </c>
      <c r="P103" s="6">
        <v>0</v>
      </c>
      <c r="Q103" s="6">
        <v>0</v>
      </c>
      <c r="R103" s="6">
        <v>0</v>
      </c>
      <c r="S103" s="6"/>
      <c r="T103" s="6">
        <f>SUM(M103:N103)</f>
        <v>103</v>
      </c>
      <c r="U103" s="6">
        <v>103</v>
      </c>
      <c r="V103" s="6" t="s">
        <v>649</v>
      </c>
      <c r="W103" s="6"/>
      <c r="X103" s="6"/>
      <c r="Y103" s="9">
        <v>46022</v>
      </c>
    </row>
    <row r="104" spans="1:25" ht="15.75" x14ac:dyDescent="0.25">
      <c r="A104" s="6" t="s">
        <v>108</v>
      </c>
      <c r="B104" s="6">
        <v>40395</v>
      </c>
      <c r="C104" s="8" t="s">
        <v>121</v>
      </c>
      <c r="D104" s="6" t="s">
        <v>122</v>
      </c>
      <c r="E104" s="6" t="s">
        <v>220</v>
      </c>
      <c r="F104" s="6" t="s">
        <v>319</v>
      </c>
      <c r="G104" s="6" t="s">
        <v>431</v>
      </c>
      <c r="H104" s="6" t="s">
        <v>597</v>
      </c>
      <c r="I104" s="6" t="s">
        <v>432</v>
      </c>
      <c r="J104" s="6" t="s">
        <v>598</v>
      </c>
      <c r="K104" s="6" t="s">
        <v>639</v>
      </c>
      <c r="L104" s="6" t="s">
        <v>640</v>
      </c>
      <c r="M104" s="6">
        <v>492</v>
      </c>
      <c r="N104" s="6">
        <v>0</v>
      </c>
      <c r="O104" s="6">
        <v>0</v>
      </c>
      <c r="P104" s="6">
        <v>23</v>
      </c>
      <c r="Q104" s="6">
        <v>0</v>
      </c>
      <c r="R104" s="6">
        <v>0</v>
      </c>
      <c r="S104" s="6"/>
      <c r="T104" s="6">
        <f>SUM(M104:N104)</f>
        <v>492</v>
      </c>
      <c r="U104" s="6">
        <v>492</v>
      </c>
      <c r="V104" s="6" t="s">
        <v>649</v>
      </c>
      <c r="W104" s="6"/>
      <c r="X104" s="6"/>
      <c r="Y104" s="9">
        <v>46022</v>
      </c>
    </row>
    <row r="105" spans="1:25" ht="15.75" x14ac:dyDescent="0.25">
      <c r="A105" s="6" t="s">
        <v>109</v>
      </c>
      <c r="B105" s="6">
        <v>40396</v>
      </c>
      <c r="C105" s="8" t="s">
        <v>121</v>
      </c>
      <c r="D105" s="6" t="s">
        <v>123</v>
      </c>
      <c r="E105" s="7" t="s">
        <v>221</v>
      </c>
      <c r="F105" s="7" t="s">
        <v>320</v>
      </c>
      <c r="G105" s="7" t="s">
        <v>599</v>
      </c>
      <c r="H105" s="7" t="s">
        <v>600</v>
      </c>
      <c r="I105" s="7" t="s">
        <v>499</v>
      </c>
      <c r="J105" s="7" t="s">
        <v>601</v>
      </c>
      <c r="K105" s="7" t="s">
        <v>638</v>
      </c>
      <c r="L105" s="7" t="s">
        <v>638</v>
      </c>
      <c r="M105" s="7" t="s">
        <v>652</v>
      </c>
      <c r="N105" s="7">
        <v>0</v>
      </c>
      <c r="O105" s="7" t="s">
        <v>652</v>
      </c>
      <c r="P105" s="7">
        <v>10</v>
      </c>
      <c r="Q105" s="7">
        <v>0</v>
      </c>
      <c r="R105" s="7">
        <v>0</v>
      </c>
      <c r="S105" s="7"/>
      <c r="T105" s="7">
        <f>SUM(M105:N105)</f>
        <v>0</v>
      </c>
      <c r="U105" s="7" t="s">
        <v>654</v>
      </c>
      <c r="V105" s="7" t="s">
        <v>649</v>
      </c>
      <c r="W105" s="6"/>
      <c r="X105" s="6"/>
      <c r="Y105" s="9">
        <v>46022</v>
      </c>
    </row>
    <row r="106" spans="1:25" ht="15.75" x14ac:dyDescent="0.25">
      <c r="A106" s="6" t="s">
        <v>110</v>
      </c>
      <c r="B106" s="6">
        <v>40397</v>
      </c>
      <c r="C106" s="8" t="s">
        <v>121</v>
      </c>
      <c r="D106" s="6" t="s">
        <v>129</v>
      </c>
      <c r="E106" s="6" t="s">
        <v>222</v>
      </c>
      <c r="F106" s="6" t="s">
        <v>321</v>
      </c>
      <c r="G106" s="6" t="s">
        <v>602</v>
      </c>
      <c r="H106" s="6">
        <v>72023</v>
      </c>
      <c r="I106" s="6" t="s">
        <v>603</v>
      </c>
      <c r="J106" s="6" t="s">
        <v>604</v>
      </c>
      <c r="K106" s="6" t="s">
        <v>638</v>
      </c>
      <c r="L106" s="6" t="s">
        <v>638</v>
      </c>
      <c r="M106" s="6">
        <v>4</v>
      </c>
      <c r="N106" s="6">
        <v>0</v>
      </c>
      <c r="O106" s="6">
        <v>0</v>
      </c>
      <c r="P106" s="6">
        <v>0</v>
      </c>
      <c r="Q106" s="6">
        <v>0</v>
      </c>
      <c r="R106" s="6">
        <v>0</v>
      </c>
      <c r="S106" s="6"/>
      <c r="T106" s="6">
        <v>4</v>
      </c>
      <c r="U106" s="6">
        <v>4</v>
      </c>
      <c r="V106" s="7" t="s">
        <v>649</v>
      </c>
      <c r="W106" s="7"/>
      <c r="X106" s="7"/>
      <c r="Y106" s="9">
        <v>46022</v>
      </c>
    </row>
    <row r="107" spans="1:25" ht="15.75" x14ac:dyDescent="0.25">
      <c r="A107" s="6" t="s">
        <v>111</v>
      </c>
      <c r="B107" s="6">
        <v>40398</v>
      </c>
      <c r="C107" s="8" t="s">
        <v>121</v>
      </c>
      <c r="D107" s="6" t="s">
        <v>122</v>
      </c>
      <c r="E107" s="7" t="s">
        <v>223</v>
      </c>
      <c r="F107" s="7" t="s">
        <v>322</v>
      </c>
      <c r="G107" s="7" t="s">
        <v>439</v>
      </c>
      <c r="H107" s="7">
        <v>72143</v>
      </c>
      <c r="I107" s="7" t="s">
        <v>440</v>
      </c>
      <c r="J107" s="7" t="s">
        <v>605</v>
      </c>
      <c r="K107" s="7" t="s">
        <v>638</v>
      </c>
      <c r="L107" s="7" t="s">
        <v>638</v>
      </c>
      <c r="M107" s="7" t="s">
        <v>729</v>
      </c>
      <c r="N107" s="7">
        <v>0</v>
      </c>
      <c r="O107" s="7">
        <v>0</v>
      </c>
      <c r="P107" s="7">
        <v>0</v>
      </c>
      <c r="Q107" s="7">
        <v>0</v>
      </c>
      <c r="R107" s="7">
        <v>0</v>
      </c>
      <c r="S107" s="7" t="s">
        <v>664</v>
      </c>
      <c r="T107" s="7">
        <f>SUM(M107:N107)</f>
        <v>0</v>
      </c>
      <c r="U107" s="7" t="s">
        <v>760</v>
      </c>
      <c r="V107" s="7" t="s">
        <v>649</v>
      </c>
      <c r="W107" s="6"/>
      <c r="X107" s="6"/>
      <c r="Y107" s="9">
        <v>46022</v>
      </c>
    </row>
    <row r="108" spans="1:25" ht="15.75" x14ac:dyDescent="0.25">
      <c r="A108" s="6" t="s">
        <v>112</v>
      </c>
      <c r="B108" s="6">
        <v>40399</v>
      </c>
      <c r="C108" s="8" t="s">
        <v>121</v>
      </c>
      <c r="D108" s="6" t="s">
        <v>125</v>
      </c>
      <c r="E108" s="7" t="s">
        <v>224</v>
      </c>
      <c r="F108" s="7" t="s">
        <v>323</v>
      </c>
      <c r="G108" s="7" t="s">
        <v>439</v>
      </c>
      <c r="H108" s="7">
        <v>72143</v>
      </c>
      <c r="I108" s="7" t="s">
        <v>440</v>
      </c>
      <c r="J108" s="7" t="s">
        <v>606</v>
      </c>
      <c r="K108" s="7" t="s">
        <v>638</v>
      </c>
      <c r="L108" s="7" t="s">
        <v>638</v>
      </c>
      <c r="M108" s="7">
        <v>193</v>
      </c>
      <c r="N108" s="7">
        <v>0</v>
      </c>
      <c r="O108" s="7">
        <v>0</v>
      </c>
      <c r="P108" s="7" t="s">
        <v>665</v>
      </c>
      <c r="Q108" s="7">
        <v>0</v>
      </c>
      <c r="R108" s="7">
        <v>37</v>
      </c>
      <c r="S108" s="7"/>
      <c r="T108" s="7">
        <f>SUM(M108:N108)</f>
        <v>193</v>
      </c>
      <c r="U108" s="7">
        <v>0</v>
      </c>
      <c r="V108" s="7" t="s">
        <v>649</v>
      </c>
      <c r="W108" s="7"/>
      <c r="X108" s="7"/>
      <c r="Y108" s="9">
        <v>46022</v>
      </c>
    </row>
    <row r="109" spans="1:25" ht="15.75" x14ac:dyDescent="0.25">
      <c r="A109" s="6" t="s">
        <v>113</v>
      </c>
      <c r="B109" s="6">
        <v>40400</v>
      </c>
      <c r="C109" s="8" t="s">
        <v>121</v>
      </c>
      <c r="D109" s="6" t="s">
        <v>122</v>
      </c>
      <c r="E109" s="7" t="s">
        <v>171</v>
      </c>
      <c r="F109" s="7" t="s">
        <v>324</v>
      </c>
      <c r="G109" s="7" t="s">
        <v>470</v>
      </c>
      <c r="H109" s="7" t="s">
        <v>607</v>
      </c>
      <c r="I109" s="7" t="s">
        <v>472</v>
      </c>
      <c r="J109" s="7" t="s">
        <v>608</v>
      </c>
      <c r="K109" s="7" t="s">
        <v>639</v>
      </c>
      <c r="L109" s="7" t="s">
        <v>640</v>
      </c>
      <c r="M109" s="7" t="s">
        <v>728</v>
      </c>
      <c r="N109" s="7" t="s">
        <v>646</v>
      </c>
      <c r="O109" s="7">
        <v>0</v>
      </c>
      <c r="P109" s="7">
        <v>0</v>
      </c>
      <c r="Q109" s="7">
        <v>0</v>
      </c>
      <c r="R109" s="7">
        <v>0</v>
      </c>
      <c r="S109" s="7"/>
      <c r="T109" s="7" t="s">
        <v>728</v>
      </c>
      <c r="U109" s="7" t="s">
        <v>706</v>
      </c>
      <c r="V109" s="7" t="s">
        <v>649</v>
      </c>
      <c r="W109" s="7"/>
      <c r="X109" s="7"/>
      <c r="Y109" s="9">
        <v>46022</v>
      </c>
    </row>
    <row r="110" spans="1:25" ht="15.75" x14ac:dyDescent="0.25">
      <c r="A110" s="6" t="s">
        <v>769</v>
      </c>
      <c r="B110" s="6">
        <v>40401</v>
      </c>
      <c r="C110" s="8" t="s">
        <v>121</v>
      </c>
      <c r="D110" s="6" t="s">
        <v>712</v>
      </c>
      <c r="E110" s="7" t="s">
        <v>225</v>
      </c>
      <c r="F110" s="7" t="s">
        <v>325</v>
      </c>
      <c r="G110" s="7" t="s">
        <v>609</v>
      </c>
      <c r="H110" s="7">
        <v>72455</v>
      </c>
      <c r="I110" s="7" t="s">
        <v>610</v>
      </c>
      <c r="J110" s="7" t="s">
        <v>611</v>
      </c>
      <c r="K110" s="7" t="s">
        <v>638</v>
      </c>
      <c r="L110" s="7" t="s">
        <v>638</v>
      </c>
      <c r="M110" s="7" t="s">
        <v>646</v>
      </c>
      <c r="N110" s="7">
        <v>0</v>
      </c>
      <c r="O110" s="7" t="s">
        <v>646</v>
      </c>
      <c r="P110" s="7" t="s">
        <v>646</v>
      </c>
      <c r="Q110" s="7">
        <v>0</v>
      </c>
      <c r="R110" s="7">
        <v>0</v>
      </c>
      <c r="S110" s="7"/>
      <c r="T110" s="7">
        <f>SUM(M110:N110)</f>
        <v>0</v>
      </c>
      <c r="U110" s="7" t="s">
        <v>646</v>
      </c>
      <c r="V110" s="7" t="s">
        <v>649</v>
      </c>
      <c r="W110" s="7"/>
      <c r="X110" s="7"/>
      <c r="Y110" s="9">
        <v>46022</v>
      </c>
    </row>
    <row r="111" spans="1:25" ht="15.75" x14ac:dyDescent="0.25">
      <c r="A111" s="6" t="s">
        <v>716</v>
      </c>
      <c r="B111" s="6">
        <v>40402</v>
      </c>
      <c r="C111" s="8" t="s">
        <v>121</v>
      </c>
      <c r="D111" s="6" t="s">
        <v>128</v>
      </c>
      <c r="E111" s="6" t="s">
        <v>723</v>
      </c>
      <c r="F111" s="6" t="s">
        <v>326</v>
      </c>
      <c r="G111" s="6" t="s">
        <v>491</v>
      </c>
      <c r="H111" s="6">
        <v>72758</v>
      </c>
      <c r="I111" s="6" t="s">
        <v>443</v>
      </c>
      <c r="J111" s="6" t="s">
        <v>612</v>
      </c>
      <c r="K111" s="6" t="s">
        <v>641</v>
      </c>
      <c r="L111" s="6" t="s">
        <v>640</v>
      </c>
      <c r="M111" s="6">
        <v>36</v>
      </c>
      <c r="N111" s="6">
        <v>0</v>
      </c>
      <c r="O111" s="6">
        <v>0</v>
      </c>
      <c r="P111" s="6">
        <v>0</v>
      </c>
      <c r="Q111" s="6">
        <v>0</v>
      </c>
      <c r="R111" s="6">
        <v>0</v>
      </c>
      <c r="S111" s="6"/>
      <c r="T111" s="6">
        <v>36</v>
      </c>
      <c r="U111" s="6">
        <v>36</v>
      </c>
      <c r="V111" s="6" t="s">
        <v>649</v>
      </c>
      <c r="W111" s="6"/>
      <c r="X111" s="6"/>
      <c r="Y111" s="9">
        <v>46022</v>
      </c>
    </row>
    <row r="112" spans="1:25" ht="15.75" x14ac:dyDescent="0.25">
      <c r="A112" s="6" t="s">
        <v>114</v>
      </c>
      <c r="B112" s="6">
        <v>40403</v>
      </c>
      <c r="C112" s="8" t="s">
        <v>121</v>
      </c>
      <c r="D112" s="6" t="s">
        <v>124</v>
      </c>
      <c r="E112" s="7" t="s">
        <v>226</v>
      </c>
      <c r="F112" s="7" t="s">
        <v>327</v>
      </c>
      <c r="G112" s="7" t="s">
        <v>569</v>
      </c>
      <c r="H112" s="7" t="s">
        <v>613</v>
      </c>
      <c r="I112" s="7" t="s">
        <v>571</v>
      </c>
      <c r="J112" s="7" t="s">
        <v>614</v>
      </c>
      <c r="K112" s="7" t="s">
        <v>639</v>
      </c>
      <c r="L112" s="7" t="s">
        <v>640</v>
      </c>
      <c r="M112" s="7" t="s">
        <v>665</v>
      </c>
      <c r="N112" s="7" t="s">
        <v>646</v>
      </c>
      <c r="O112" s="7" t="s">
        <v>646</v>
      </c>
      <c r="P112" s="7" t="s">
        <v>646</v>
      </c>
      <c r="Q112" s="7" t="s">
        <v>646</v>
      </c>
      <c r="R112" s="7" t="s">
        <v>646</v>
      </c>
      <c r="S112" s="7"/>
      <c r="T112" s="7" t="s">
        <v>665</v>
      </c>
      <c r="U112" s="7" t="s">
        <v>665</v>
      </c>
      <c r="V112" s="7" t="s">
        <v>649</v>
      </c>
      <c r="W112" s="7"/>
      <c r="X112" s="7"/>
      <c r="Y112" s="9">
        <v>46022</v>
      </c>
    </row>
    <row r="113" spans="1:25" ht="15.75" x14ac:dyDescent="0.25">
      <c r="A113" s="6" t="s">
        <v>717</v>
      </c>
      <c r="B113" s="6">
        <v>40404</v>
      </c>
      <c r="C113" s="8" t="s">
        <v>121</v>
      </c>
      <c r="D113" s="6" t="s">
        <v>712</v>
      </c>
      <c r="E113" s="7" t="s">
        <v>227</v>
      </c>
      <c r="F113" s="7" t="s">
        <v>328</v>
      </c>
      <c r="G113" s="7" t="s">
        <v>615</v>
      </c>
      <c r="H113" s="7">
        <v>72632</v>
      </c>
      <c r="I113" s="7" t="s">
        <v>483</v>
      </c>
      <c r="J113" s="7" t="s">
        <v>616</v>
      </c>
      <c r="K113" s="7" t="s">
        <v>638</v>
      </c>
      <c r="L113" s="7" t="s">
        <v>638</v>
      </c>
      <c r="M113" s="7" t="s">
        <v>648</v>
      </c>
      <c r="N113" s="7">
        <v>0</v>
      </c>
      <c r="O113" s="7" t="s">
        <v>646</v>
      </c>
      <c r="P113" s="7">
        <v>0</v>
      </c>
      <c r="Q113" s="7">
        <v>0</v>
      </c>
      <c r="R113" s="7">
        <v>0</v>
      </c>
      <c r="S113" s="7"/>
      <c r="T113" s="7" t="s">
        <v>648</v>
      </c>
      <c r="U113" s="7" t="s">
        <v>648</v>
      </c>
      <c r="V113" s="7" t="s">
        <v>649</v>
      </c>
      <c r="W113" s="7"/>
      <c r="X113" s="7"/>
      <c r="Y113" s="9">
        <v>46022</v>
      </c>
    </row>
    <row r="114" spans="1:25" ht="15.75" x14ac:dyDescent="0.25">
      <c r="A114" s="6" t="s">
        <v>770</v>
      </c>
      <c r="B114" s="6">
        <v>40405</v>
      </c>
      <c r="C114" s="8" t="s">
        <v>121</v>
      </c>
      <c r="D114" s="6" t="s">
        <v>125</v>
      </c>
      <c r="E114" s="7" t="s">
        <v>228</v>
      </c>
      <c r="F114" s="7" t="s">
        <v>329</v>
      </c>
      <c r="G114" s="7" t="s">
        <v>617</v>
      </c>
      <c r="H114" s="7" t="s">
        <v>618</v>
      </c>
      <c r="I114" s="7" t="s">
        <v>619</v>
      </c>
      <c r="J114" s="7" t="s">
        <v>620</v>
      </c>
      <c r="K114" s="7" t="s">
        <v>638</v>
      </c>
      <c r="L114" s="7" t="s">
        <v>638</v>
      </c>
      <c r="M114" s="7">
        <v>49</v>
      </c>
      <c r="N114" s="7">
        <v>0</v>
      </c>
      <c r="O114" s="7">
        <v>49</v>
      </c>
      <c r="P114" s="7">
        <v>0</v>
      </c>
      <c r="Q114" s="7">
        <v>0</v>
      </c>
      <c r="R114" s="7">
        <v>0</v>
      </c>
      <c r="S114" s="7"/>
      <c r="T114" s="7">
        <f>SUM(M114:N114)</f>
        <v>49</v>
      </c>
      <c r="U114" s="7">
        <v>49</v>
      </c>
      <c r="V114" s="7" t="s">
        <v>649</v>
      </c>
      <c r="W114" s="7"/>
      <c r="X114" s="7"/>
      <c r="Y114" s="9">
        <v>46022</v>
      </c>
    </row>
    <row r="115" spans="1:25" ht="15.75" x14ac:dyDescent="0.25">
      <c r="A115" s="6" t="s">
        <v>115</v>
      </c>
      <c r="B115" s="6">
        <v>40406</v>
      </c>
      <c r="C115" s="8" t="s">
        <v>121</v>
      </c>
      <c r="D115" s="6" t="s">
        <v>125</v>
      </c>
      <c r="E115" s="6" t="s">
        <v>229</v>
      </c>
      <c r="F115" s="6" t="s">
        <v>330</v>
      </c>
      <c r="G115" s="6" t="s">
        <v>621</v>
      </c>
      <c r="H115" s="6">
        <v>72019</v>
      </c>
      <c r="I115" s="6" t="s">
        <v>540</v>
      </c>
      <c r="J115" s="6" t="s">
        <v>622</v>
      </c>
      <c r="K115" s="6" t="s">
        <v>639</v>
      </c>
      <c r="L115" s="6" t="s">
        <v>640</v>
      </c>
      <c r="M115" s="6">
        <v>33</v>
      </c>
      <c r="N115" s="6">
        <v>0</v>
      </c>
      <c r="O115" s="6">
        <v>0</v>
      </c>
      <c r="P115" s="6">
        <v>0</v>
      </c>
      <c r="Q115" s="6">
        <v>0</v>
      </c>
      <c r="R115" s="6">
        <v>0</v>
      </c>
      <c r="S115" s="6"/>
      <c r="T115" s="6">
        <v>33</v>
      </c>
      <c r="U115" s="6">
        <v>33</v>
      </c>
      <c r="V115" s="7" t="s">
        <v>649</v>
      </c>
      <c r="W115" s="7"/>
      <c r="X115" s="7"/>
      <c r="Y115" s="9">
        <v>46022</v>
      </c>
    </row>
    <row r="116" spans="1:25" ht="15.75" x14ac:dyDescent="0.25">
      <c r="A116" s="6" t="s">
        <v>116</v>
      </c>
      <c r="B116" s="6">
        <v>40407</v>
      </c>
      <c r="C116" s="8" t="s">
        <v>121</v>
      </c>
      <c r="D116" s="6" t="s">
        <v>128</v>
      </c>
      <c r="E116" s="6" t="s">
        <v>230</v>
      </c>
      <c r="F116" s="6" t="s">
        <v>331</v>
      </c>
      <c r="G116" s="6" t="s">
        <v>431</v>
      </c>
      <c r="H116" s="6" t="s">
        <v>623</v>
      </c>
      <c r="I116" s="6" t="s">
        <v>432</v>
      </c>
      <c r="J116" s="6" t="s">
        <v>624</v>
      </c>
      <c r="K116" s="7" t="s">
        <v>639</v>
      </c>
      <c r="L116" s="6" t="s">
        <v>640</v>
      </c>
      <c r="M116" s="6">
        <v>50</v>
      </c>
      <c r="N116" s="6">
        <v>0</v>
      </c>
      <c r="O116" s="6">
        <v>0</v>
      </c>
      <c r="P116" s="6">
        <v>0</v>
      </c>
      <c r="Q116" s="6">
        <v>0</v>
      </c>
      <c r="R116" s="6">
        <v>0</v>
      </c>
      <c r="S116" s="6"/>
      <c r="T116" s="6">
        <v>50</v>
      </c>
      <c r="U116" s="6">
        <v>50</v>
      </c>
      <c r="V116" s="6"/>
      <c r="W116" s="6"/>
      <c r="X116" s="6"/>
      <c r="Y116" s="9">
        <v>46022</v>
      </c>
    </row>
    <row r="117" spans="1:25" ht="15.75" x14ac:dyDescent="0.25">
      <c r="A117" s="6" t="s">
        <v>117</v>
      </c>
      <c r="B117" s="6">
        <v>40408</v>
      </c>
      <c r="C117" s="8" t="s">
        <v>121</v>
      </c>
      <c r="D117" s="6" t="s">
        <v>125</v>
      </c>
      <c r="E117" s="6" t="s">
        <v>231</v>
      </c>
      <c r="F117" s="6" t="s">
        <v>332</v>
      </c>
      <c r="G117" s="6" t="s">
        <v>466</v>
      </c>
      <c r="H117" s="6" t="s">
        <v>625</v>
      </c>
      <c r="I117" s="6" t="s">
        <v>412</v>
      </c>
      <c r="J117" s="6" t="s">
        <v>626</v>
      </c>
      <c r="K117" s="6" t="s">
        <v>638</v>
      </c>
      <c r="L117" s="6" t="s">
        <v>638</v>
      </c>
      <c r="M117" s="6" t="s">
        <v>651</v>
      </c>
      <c r="N117" s="6">
        <v>0</v>
      </c>
      <c r="O117" s="6">
        <v>0</v>
      </c>
      <c r="P117" s="6">
        <v>0</v>
      </c>
      <c r="Q117" s="6">
        <v>0</v>
      </c>
      <c r="R117" s="6">
        <v>0</v>
      </c>
      <c r="S117" s="6"/>
      <c r="T117" s="6" t="s">
        <v>651</v>
      </c>
      <c r="U117" s="6" t="s">
        <v>651</v>
      </c>
      <c r="V117" s="6" t="s">
        <v>649</v>
      </c>
      <c r="W117" s="6"/>
      <c r="X117" s="6"/>
      <c r="Y117" s="9">
        <v>46022</v>
      </c>
    </row>
    <row r="118" spans="1:25" ht="15.75" x14ac:dyDescent="0.25">
      <c r="A118" s="6" t="s">
        <v>118</v>
      </c>
      <c r="B118" s="6">
        <v>40409</v>
      </c>
      <c r="C118" s="8" t="s">
        <v>121</v>
      </c>
      <c r="D118" s="6" t="s">
        <v>126</v>
      </c>
      <c r="E118" s="6" t="s">
        <v>232</v>
      </c>
      <c r="F118" s="6" t="s">
        <v>755</v>
      </c>
      <c r="G118" s="6" t="s">
        <v>627</v>
      </c>
      <c r="H118" s="6" t="s">
        <v>628</v>
      </c>
      <c r="I118" s="6" t="s">
        <v>629</v>
      </c>
      <c r="J118" s="6" t="s">
        <v>630</v>
      </c>
      <c r="K118" s="6" t="s">
        <v>638</v>
      </c>
      <c r="L118" s="6" t="s">
        <v>638</v>
      </c>
      <c r="M118" s="6">
        <v>25</v>
      </c>
      <c r="N118" s="6">
        <v>0</v>
      </c>
      <c r="O118" s="6">
        <v>0</v>
      </c>
      <c r="P118" s="6">
        <v>10</v>
      </c>
      <c r="Q118" s="6">
        <v>0</v>
      </c>
      <c r="R118" s="6">
        <v>0</v>
      </c>
      <c r="S118" s="6"/>
      <c r="T118" s="6">
        <v>35</v>
      </c>
      <c r="U118" s="6">
        <v>35</v>
      </c>
      <c r="V118" s="6" t="s">
        <v>649</v>
      </c>
      <c r="W118" s="6"/>
      <c r="X118" s="6"/>
      <c r="Y118" s="9">
        <v>46022</v>
      </c>
    </row>
    <row r="119" spans="1:25" ht="15.75" x14ac:dyDescent="0.25">
      <c r="A119" s="7" t="s">
        <v>718</v>
      </c>
      <c r="B119" s="6">
        <v>40410</v>
      </c>
      <c r="C119" s="8" t="s">
        <v>121</v>
      </c>
      <c r="D119" s="6" t="s">
        <v>123</v>
      </c>
      <c r="E119" s="6" t="s">
        <v>233</v>
      </c>
      <c r="F119" s="6" t="s">
        <v>333</v>
      </c>
      <c r="G119" s="7" t="s">
        <v>631</v>
      </c>
      <c r="H119" s="7" t="s">
        <v>632</v>
      </c>
      <c r="I119" s="7" t="s">
        <v>633</v>
      </c>
      <c r="J119" s="7" t="s">
        <v>634</v>
      </c>
      <c r="K119" s="6" t="s">
        <v>644</v>
      </c>
      <c r="L119" s="6" t="s">
        <v>640</v>
      </c>
      <c r="M119" s="7">
        <v>15</v>
      </c>
      <c r="N119" s="7">
        <v>0</v>
      </c>
      <c r="O119" s="7" t="s">
        <v>648</v>
      </c>
      <c r="P119" s="7">
        <v>0</v>
      </c>
      <c r="Q119" s="7">
        <v>0</v>
      </c>
      <c r="R119" s="7">
        <v>0</v>
      </c>
      <c r="S119" s="7"/>
      <c r="T119" s="6">
        <v>15</v>
      </c>
      <c r="U119" s="7">
        <v>15</v>
      </c>
      <c r="V119" s="7" t="s">
        <v>761</v>
      </c>
      <c r="W119" s="6"/>
      <c r="X119" s="6"/>
      <c r="Y119" s="9">
        <v>46022</v>
      </c>
    </row>
    <row r="120" spans="1:25" ht="15.75" x14ac:dyDescent="0.25">
      <c r="A120" s="7" t="s">
        <v>119</v>
      </c>
      <c r="B120" s="6">
        <v>40411</v>
      </c>
      <c r="C120" s="8" t="s">
        <v>121</v>
      </c>
      <c r="D120" s="6" t="s">
        <v>125</v>
      </c>
      <c r="E120" s="6" t="s">
        <v>234</v>
      </c>
      <c r="F120" s="6" t="s">
        <v>334</v>
      </c>
      <c r="G120" s="7" t="s">
        <v>431</v>
      </c>
      <c r="H120" s="7" t="s">
        <v>531</v>
      </c>
      <c r="I120" s="7" t="s">
        <v>432</v>
      </c>
      <c r="J120" s="7"/>
      <c r="K120" s="6"/>
      <c r="L120" s="6"/>
      <c r="M120" s="7" t="s">
        <v>677</v>
      </c>
      <c r="N120" s="7"/>
      <c r="O120" s="7"/>
      <c r="P120" s="7"/>
      <c r="Q120" s="7"/>
      <c r="R120" s="7"/>
      <c r="S120" s="7"/>
      <c r="T120" s="6"/>
      <c r="U120" s="7"/>
      <c r="V120" s="7"/>
      <c r="W120" s="6"/>
      <c r="X120" s="6"/>
      <c r="Y120" s="9">
        <v>46022</v>
      </c>
    </row>
    <row r="121" spans="1:25" ht="15.75" x14ac:dyDescent="0.25">
      <c r="A121" s="7" t="s">
        <v>120</v>
      </c>
      <c r="B121" s="6">
        <v>40412</v>
      </c>
      <c r="C121" s="8" t="s">
        <v>121</v>
      </c>
      <c r="D121" s="6" t="s">
        <v>125</v>
      </c>
      <c r="E121" s="6" t="s">
        <v>235</v>
      </c>
      <c r="F121" s="6" t="s">
        <v>335</v>
      </c>
      <c r="G121" s="7" t="s">
        <v>635</v>
      </c>
      <c r="H121" s="7" t="s">
        <v>636</v>
      </c>
      <c r="I121" s="7" t="s">
        <v>368</v>
      </c>
      <c r="J121" s="7" t="s">
        <v>637</v>
      </c>
      <c r="K121" s="6" t="s">
        <v>741</v>
      </c>
      <c r="L121" s="6" t="s">
        <v>640</v>
      </c>
      <c r="M121" s="7" t="s">
        <v>695</v>
      </c>
      <c r="N121" s="7" t="s">
        <v>646</v>
      </c>
      <c r="O121" s="7" t="s">
        <v>646</v>
      </c>
      <c r="P121" s="7" t="s">
        <v>646</v>
      </c>
      <c r="Q121" s="7" t="s">
        <v>646</v>
      </c>
      <c r="R121" s="7" t="s">
        <v>646</v>
      </c>
      <c r="S121" s="7"/>
      <c r="T121" s="6">
        <v>29</v>
      </c>
      <c r="U121" s="7" t="s">
        <v>695</v>
      </c>
      <c r="V121" s="7" t="s">
        <v>649</v>
      </c>
      <c r="W121" s="6"/>
      <c r="X121" s="6"/>
      <c r="Y121" s="9">
        <v>46022</v>
      </c>
    </row>
    <row r="122" spans="1:25" ht="15.75" x14ac:dyDescent="0.25">
      <c r="A122" s="6" t="s">
        <v>740</v>
      </c>
      <c r="B122" s="6">
        <v>40413</v>
      </c>
      <c r="C122" s="8" t="s">
        <v>121</v>
      </c>
      <c r="D122" s="6" t="s">
        <v>128</v>
      </c>
      <c r="E122" s="6" t="s">
        <v>736</v>
      </c>
      <c r="F122" s="6" t="s">
        <v>737</v>
      </c>
      <c r="G122" s="6" t="s">
        <v>738</v>
      </c>
      <c r="H122" s="6">
        <v>71602</v>
      </c>
      <c r="I122" s="6" t="s">
        <v>397</v>
      </c>
      <c r="J122" s="6" t="s">
        <v>739</v>
      </c>
      <c r="K122" s="6"/>
      <c r="L122" s="6" t="s">
        <v>640</v>
      </c>
      <c r="M122" s="6">
        <v>0</v>
      </c>
      <c r="N122" s="6">
        <v>0</v>
      </c>
      <c r="O122" s="6">
        <v>0</v>
      </c>
      <c r="P122" s="6">
        <v>36</v>
      </c>
      <c r="Q122" s="6">
        <v>0</v>
      </c>
      <c r="R122" s="6">
        <v>40</v>
      </c>
      <c r="S122" s="6">
        <v>0</v>
      </c>
      <c r="T122" s="6">
        <v>76</v>
      </c>
      <c r="U122" s="6">
        <v>0</v>
      </c>
      <c r="V122" s="7" t="s">
        <v>646</v>
      </c>
      <c r="W122" s="13"/>
      <c r="X122" s="13"/>
      <c r="Y122" s="9">
        <v>46022</v>
      </c>
    </row>
  </sheetData>
  <mergeCells count="3">
    <mergeCell ref="A1:K1"/>
    <mergeCell ref="A2:K2"/>
    <mergeCell ref="A3:K3"/>
  </mergeCells>
  <pageMargins left="0.7" right="0.7" top="0.75" bottom="0.75" header="0.3" footer="0.3"/>
  <pageSetup scale="29" fitToWidth="0" fitToHeight="0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67AECA288D3B14F9DEA9A3655EE12AD" ma:contentTypeVersion="17" ma:contentTypeDescription="Create a new document." ma:contentTypeScope="" ma:versionID="51f4cce557f7b4f9ff00b1bbd1d3ceb4">
  <xsd:schema xmlns:xsd="http://www.w3.org/2001/XMLSchema" xmlns:xs="http://www.w3.org/2001/XMLSchema" xmlns:p="http://schemas.microsoft.com/office/2006/metadata/properties" xmlns:ns2="274c5592-96c8-4667-9139-593e914fb627" xmlns:ns3="5dc07e58-e11e-43f5-8c90-dd5f7750ef13" targetNamespace="http://schemas.microsoft.com/office/2006/metadata/properties" ma:root="true" ma:fieldsID="39fd296041e36493a95cd44352e96958" ns2:_="" ns3:_="">
    <xsd:import namespace="274c5592-96c8-4667-9139-593e914fb627"/>
    <xsd:import namespace="5dc07e58-e11e-43f5-8c90-dd5f7750ef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Date_x002f_Time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74c5592-96c8-4667-9139-593e914fb62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6830aa7a-1173-4a8f-8fff-517453f0343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Date_x002f_Time" ma:index="22" nillable="true" ma:displayName="Date/Time" ma:format="DateTime" ma:internalName="Date_x002f_Time">
      <xsd:simpleType>
        <xsd:restriction base="dms:DateTime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c07e58-e11e-43f5-8c90-dd5f7750ef13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cc34feae-1ed4-42c8-86c5-f0e830ec2c3d}" ma:internalName="TaxCatchAll" ma:showField="CatchAllData" ma:web="5dc07e58-e11e-43f5-8c90-dd5f7750ef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dc07e58-e11e-43f5-8c90-dd5f7750ef13" xsi:nil="true"/>
    <lcf76f155ced4ddcb4097134ff3c332f xmlns="274c5592-96c8-4667-9139-593e914fb627">
      <Terms xmlns="http://schemas.microsoft.com/office/infopath/2007/PartnerControls"/>
    </lcf76f155ced4ddcb4097134ff3c332f>
    <Date_x002f_Time xmlns="274c5592-96c8-4667-9139-593e914fb627" xsi:nil="true"/>
  </documentManagement>
</p:properties>
</file>

<file path=customXml/itemProps1.xml><?xml version="1.0" encoding="utf-8"?>
<ds:datastoreItem xmlns:ds="http://schemas.openxmlformats.org/officeDocument/2006/customXml" ds:itemID="{C26EC73E-EDFA-4033-9DFD-E0B955B1FEAD}"/>
</file>

<file path=customXml/itemProps2.xml><?xml version="1.0" encoding="utf-8"?>
<ds:datastoreItem xmlns:ds="http://schemas.openxmlformats.org/officeDocument/2006/customXml" ds:itemID="{C1CF78F3-B14E-46F2-A60B-8A65F5183252}"/>
</file>

<file path=customXml/itemProps3.xml><?xml version="1.0" encoding="utf-8"?>
<ds:datastoreItem xmlns:ds="http://schemas.openxmlformats.org/officeDocument/2006/customXml" ds:itemID="{C4B4ED31-0578-4EF0-AEDC-B69C6EFA3FC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Paula Day</dc:creator>
  <cp:lastModifiedBy>Jacob Wallace</cp:lastModifiedBy>
  <cp:lastPrinted>2023-03-21T13:51:28Z</cp:lastPrinted>
  <dcterms:created xsi:type="dcterms:W3CDTF">2023-03-21T13:30:52Z</dcterms:created>
  <dcterms:modified xsi:type="dcterms:W3CDTF">2025-02-04T13:34:00Z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0x010100667AECA288D3B14F9DEA9A3655EE12AD</vt:lpwstr>
  </property>
</Properties>
</file>